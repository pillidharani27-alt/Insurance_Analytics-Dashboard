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 Drive\Desktop\Shivam Folder\First project\"/>
    </mc:Choice>
  </mc:AlternateContent>
  <xr:revisionPtr revIDLastSave="0" documentId="13_ncr:1_{68151C55-4CF5-46CF-AB2A-BFEE04E6EC55}" xr6:coauthVersionLast="47" xr6:coauthVersionMax="47" xr10:uidLastSave="{00000000-0000-0000-0000-000000000000}"/>
  <bookViews>
    <workbookView xWindow="-110" yWindow="-110" windowWidth="19420" windowHeight="10300" firstSheet="1" activeTab="4" xr2:uid="{D344F875-EF5A-46F3-B4CD-F5F4E8515CC8}"/>
  </bookViews>
  <sheets>
    <sheet name="Meeting Count" sheetId="3" r:id="rId1"/>
    <sheet name="Oppurtinity" sheetId="8" r:id="rId2"/>
    <sheet name="Sheet4" sheetId="7" r:id="rId3"/>
    <sheet name="Sheet1" sheetId="4" r:id="rId4"/>
    <sheet name="Dashboard" sheetId="2" r:id="rId5"/>
    <sheet name="Calculation" sheetId="9" r:id="rId6"/>
  </sheets>
  <externalReferences>
    <externalReference r:id="rId7"/>
    <externalReference r:id="rId8"/>
    <externalReference r:id="rId9"/>
    <externalReference r:id="rId10"/>
  </externalReferences>
  <definedNames>
    <definedName name="_xlchart.v2.0" hidden="1">[1]Sheet2!$A$9:$A$11</definedName>
    <definedName name="_xlchart.v2.1" hidden="1">[1]Sheet2!$B$9:$B$11</definedName>
    <definedName name="_xlchart.v2.2" hidden="1">[1]Sheet2!$A$9:$A$11</definedName>
    <definedName name="_xlchart.v2.3" hidden="1">[1]Sheet2!$B$9:$B$11</definedName>
    <definedName name="_xlcn.WorksheetConnection_Dashboard.xlsxgcrm_opportunity_2020012310411" hidden="1">gcrm_opportunity_202001231041[]</definedName>
    <definedName name="_xlcn.WorksheetConnection_Dashboard.xlsxmeeting_list_2020012310411" hidden="1">meeting_list_202001231041[]</definedName>
    <definedName name="ExternalData_1" localSheetId="0" hidden="1">'Meeting Count'!$A$1:$B$35</definedName>
    <definedName name="ExternalData_1" localSheetId="1" hidden="1">Oppurtinity!$A$1:$L$50</definedName>
  </definedNames>
  <calcPr calcId="191029"/>
  <pivotCaches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eting_list_202001231041" name="meeting_list_202001231041" connection="WorksheetConnection_Dashboard.xlsx!meeting_list_202001231041"/>
          <x15:modelTable id="gcrm_opportunity_202001231041" name="gcrm_opportunity_202001231041" connection="WorksheetConnection_Dashboard.xlsx!gcrm_opportunity_20200123104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9" l="1"/>
  <c r="K5" i="9"/>
  <c r="K3" i="9"/>
  <c r="F5" i="7"/>
  <c r="F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C83F9A-C078-4914-8E82-DF79D8E8815F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2" xr16:uid="{CECEADB0-07F0-4141-ABE4-FDAE01D47E04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3" xr16:uid="{3F35F4BD-3788-40A3-BBA5-B6973BEEBC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9A71ED6-7CE4-4D93-BB73-E523D42E3D8C}" name="WorksheetConnection_Dashboard.xlsx!gcrm_opportunity_202001231041" type="102" refreshedVersion="8" minRefreshableVersion="5">
    <extLst>
      <ext xmlns:x15="http://schemas.microsoft.com/office/spreadsheetml/2010/11/main" uri="{DE250136-89BD-433C-8126-D09CA5730AF9}">
        <x15:connection id="gcrm_opportunity_202001231041">
          <x15:rangePr sourceName="_xlcn.WorksheetConnection_Dashboard.xlsxgcrm_opportunity_2020012310411"/>
        </x15:connection>
      </ext>
    </extLst>
  </connection>
  <connection id="5" xr16:uid="{D1B1EE77-5899-4410-AB89-819790CAC1B5}" name="WorksheetConnection_Dashboard.xlsx!meeting_list_202001231041" type="102" refreshedVersion="8" minRefreshableVersion="5">
    <extLst>
      <ext xmlns:x15="http://schemas.microsoft.com/office/spreadsheetml/2010/11/main" uri="{DE250136-89BD-433C-8126-D09CA5730AF9}">
        <x15:connection id="meeting_list_202001231041" autoDelete="1">
          <x15:rangePr sourceName="_xlcn.WorksheetConnection_Dashboard.xlsxmeeting_list_2020012310411"/>
        </x15:connection>
      </ext>
    </extLst>
  </connection>
</connections>
</file>

<file path=xl/sharedStrings.xml><?xml version="1.0" encoding="utf-8"?>
<sst xmlns="http://schemas.openxmlformats.org/spreadsheetml/2006/main" count="527" uniqueCount="175">
  <si>
    <t>Account Executive</t>
  </si>
  <si>
    <t>meeting_date</t>
  </si>
  <si>
    <t>Abhinav Shivam</t>
  </si>
  <si>
    <t>Vinay</t>
  </si>
  <si>
    <t>Animesh Rawat</t>
  </si>
  <si>
    <t>Ketan Jain</t>
  </si>
  <si>
    <t>Juli</t>
  </si>
  <si>
    <t>Shivani Sharma</t>
  </si>
  <si>
    <t>Manish Sharma</t>
  </si>
  <si>
    <t>Raju Kumar</t>
  </si>
  <si>
    <t>Mark</t>
  </si>
  <si>
    <t>Yearly Meeting Count</t>
  </si>
  <si>
    <t>Row Labels</t>
  </si>
  <si>
    <t>2019</t>
  </si>
  <si>
    <t>2020</t>
  </si>
  <si>
    <t>Count of Account Executive</t>
  </si>
  <si>
    <t>Column Labels</t>
  </si>
  <si>
    <t>Grand Total</t>
  </si>
  <si>
    <t>opportunity_name</t>
  </si>
  <si>
    <t>opportunity_id</t>
  </si>
  <si>
    <t>premium_amount</t>
  </si>
  <si>
    <t>revenue_amount</t>
  </si>
  <si>
    <t>closing_date</t>
  </si>
  <si>
    <t>stage</t>
  </si>
  <si>
    <t>branch</t>
  </si>
  <si>
    <t>specialty</t>
  </si>
  <si>
    <t>product_group</t>
  </si>
  <si>
    <t>product_sub_group</t>
  </si>
  <si>
    <t>risk_details</t>
  </si>
  <si>
    <t>EL-Group Mediclaim</t>
  </si>
  <si>
    <t>OPP1900001042</t>
  </si>
  <si>
    <t>Qualify Opportunity</t>
  </si>
  <si>
    <t>Ahmedabad</t>
  </si>
  <si>
    <t>Employee Benefits (EB)</t>
  </si>
  <si>
    <t>Employee Benefits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</si>
  <si>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</si>
  <si>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</si>
  <si>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</si>
  <si>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</si>
  <si>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</si>
  <si>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</si>
  <si>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</si>
  <si>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</si>
  <si>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</si>
  <si>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</si>
  <si>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</si>
  <si>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</si>
  <si>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</si>
  <si>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</si>
  <si>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&amp;amp; Political Risk</t>
  </si>
  <si>
    <t>Miscellaneous</t>
  </si>
  <si>
    <t>Trade Credit Insurance</t>
  </si>
  <si>
    <t>PIL-CGL</t>
  </si>
  <si>
    <t>OPP1900001052</t>
  </si>
  <si>
    <t>Liability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</si>
  <si>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</si>
  <si>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</si>
  <si>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</si>
  <si>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</si>
  <si>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</si>
  <si>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</si>
  <si>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</si>
  <si>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</si>
  <si>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</si>
  <si>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</si>
  <si>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</si>
  <si>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</si>
  <si>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</si>
  <si>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</si>
  <si>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</si>
  <si>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</si>
  <si>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</si>
  <si>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</si>
  <si>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</si>
  <si>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</si>
  <si>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</si>
  <si>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</si>
  <si>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</si>
  <si>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</si>
  <si>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</si>
  <si>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</si>
  <si>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</si>
  <si>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</si>
  <si>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</si>
  <si>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</si>
  <si>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</si>
  <si>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</si>
  <si>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</si>
  <si>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</si>
  <si>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</si>
  <si>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</si>
  <si>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Emerging Corporates Group (ECG)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</si>
  <si>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</si>
  <si>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</si>
  <si>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</si>
  <si>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</si>
  <si>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</si>
  <si>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</si>
  <si>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</si>
  <si>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</si>
  <si>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</si>
  <si>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</si>
  <si>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</si>
  <si>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</si>
  <si>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</si>
  <si>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</si>
  <si>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Property / BI</t>
  </si>
  <si>
    <t>Fire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</si>
  <si>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</si>
  <si>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</si>
  <si>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</si>
  <si>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</si>
  <si>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</si>
  <si>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</si>
  <si>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</si>
  <si>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</si>
  <si>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</si>
  <si>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</si>
  <si>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Construction, Power &amp; Infrastructure</t>
  </si>
  <si>
    <t>Engineering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</si>
  <si>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</si>
  <si>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</si>
  <si>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</si>
  <si>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</si>
  <si>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</si>
  <si>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</si>
  <si>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</si>
  <si>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</si>
  <si>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</si>
  <si>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</si>
  <si>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</si>
  <si>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</si>
  <si>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</si>
  <si>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</si>
  <si>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</si>
  <si>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</si>
  <si>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</si>
  <si>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</si>
  <si>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</si>
  <si>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</si>
  <si>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</si>
  <si>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</si>
  <si>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</si>
  <si>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</si>
  <si>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</si>
  <si>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</si>
  <si>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</si>
  <si>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</si>
  <si>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</si>
  <si>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</si>
  <si>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</si>
  <si>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</si>
  <si>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</si>
  <si>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</si>
  <si>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</si>
  <si>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</si>
  <si>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</si>
  <si>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</si>
  <si>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</si>
  <si>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</si>
  <si>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</si>
  <si>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Total oppurtinities</t>
  </si>
  <si>
    <t>Count of opportunity_id</t>
  </si>
  <si>
    <t>Open loppurtinities</t>
  </si>
  <si>
    <t>Open/Close</t>
  </si>
  <si>
    <t>Count of Open/Close</t>
  </si>
  <si>
    <t>Null</t>
  </si>
  <si>
    <t>Open</t>
  </si>
  <si>
    <t>Invoice</t>
  </si>
  <si>
    <t>Target</t>
  </si>
  <si>
    <t>Acheivement</t>
  </si>
  <si>
    <t>Invoice %</t>
  </si>
  <si>
    <t>Cross Sell</t>
  </si>
  <si>
    <t>New</t>
  </si>
  <si>
    <t>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</si>
</sst>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0" xfId="0" applyFont="1" applyFill="1"/>
    <xf numFmtId="0" fontId="4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externalLink" Target="externalLinks/externalLink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Opportunity-Product distributiion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71-4F21-859B-F8FE12D513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71-4F21-859B-F8FE12D513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71-4F21-859B-F8FE12D513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971-4F21-859B-F8FE12D513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71-4F21-859B-F8FE12D513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971-4F21-859B-F8FE12D513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971-4F21-859B-F8FE12D513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Employee Benefits</c:v>
              </c:pt>
              <c:pt idx="1">
                <c:v>Engineering</c:v>
              </c:pt>
              <c:pt idx="2">
                <c:v>Fire</c:v>
              </c:pt>
              <c:pt idx="3">
                <c:v>Liability</c:v>
              </c:pt>
              <c:pt idx="4">
                <c:v>Marine</c:v>
              </c:pt>
              <c:pt idx="5">
                <c:v>Miscellaneous</c:v>
              </c:pt>
              <c:pt idx="6">
                <c:v>Terrorism</c:v>
              </c:pt>
            </c:strLit>
          </c:cat>
          <c:val>
            <c:numLit>
              <c:formatCode>General</c:formatCode>
              <c:ptCount val="7"/>
              <c:pt idx="0">
                <c:v>15</c:v>
              </c:pt>
              <c:pt idx="1">
                <c:v>6</c:v>
              </c:pt>
              <c:pt idx="2">
                <c:v>13</c:v>
              </c:pt>
              <c:pt idx="3">
                <c:v>5</c:v>
              </c:pt>
              <c:pt idx="4">
                <c:v>7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E-5971-4F21-859B-F8FE12D513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No. Of Meeting by Account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[2]Sheet1!$B$15</c:f>
              <c:strCache>
                <c:ptCount val="1"/>
                <c:pt idx="0">
                  <c:v>Meeting Done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lumMod val="110000"/>
                  </a:schemeClr>
                </a:gs>
                <a:gs pos="84000">
                  <a:schemeClr val="accent1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[2]Sheet1!$A$16:$A$24</c:f>
              <c:strCache>
                <c:ptCount val="9"/>
                <c:pt idx="0">
                  <c:v>Mark</c:v>
                </c:pt>
                <c:pt idx="1">
                  <c:v>Raju Kumar</c:v>
                </c:pt>
                <c:pt idx="2">
                  <c:v>Juli</c:v>
                </c:pt>
                <c:pt idx="3">
                  <c:v>Manish Sharma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[2]Sheet1!$B$16:$B$24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0-4D00-97E0-DD1D227BBF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81475215"/>
        <c:axId val="1781472815"/>
      </c:barChart>
      <c:catAx>
        <c:axId val="178147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72815"/>
        <c:crosses val="autoZero"/>
        <c:auto val="1"/>
        <c:lblAlgn val="ctr"/>
        <c:lblOffset val="100"/>
        <c:noMultiLvlLbl val="0"/>
      </c:catAx>
      <c:valAx>
        <c:axId val="178147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7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No. of Invoice by Account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71451164004123"/>
          <c:y val="0.46919783699659423"/>
          <c:w val="0.79409313385935609"/>
          <c:h val="0.5261345536936088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[3]Sheet1!$B$15</c:f>
              <c:strCache>
                <c:ptCount val="1"/>
                <c:pt idx="0">
                  <c:v>Cross Sell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lumMod val="110000"/>
                  </a:schemeClr>
                </a:gs>
                <a:gs pos="84000">
                  <a:schemeClr val="accent1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[3]Sheet1!$A$16:$A$23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[3]Sheet1!$B$16:$B$23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</c:v>
                </c:pt>
                <c:pt idx="4">
                  <c:v>12</c:v>
                </c:pt>
                <c:pt idx="5">
                  <c:v>20</c:v>
                </c:pt>
                <c:pt idx="6">
                  <c:v>0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B-462F-BFFF-23E0503CFF20}"/>
            </c:ext>
          </c:extLst>
        </c:ser>
        <c:ser>
          <c:idx val="1"/>
          <c:order val="1"/>
          <c:tx>
            <c:strRef>
              <c:f>[3]Sheet1!$C$15</c:f>
              <c:strCache>
                <c:ptCount val="1"/>
                <c:pt idx="0">
                  <c:v>New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8000"/>
                    <a:lumMod val="110000"/>
                  </a:schemeClr>
                </a:gs>
                <a:gs pos="84000">
                  <a:schemeClr val="accent2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[3]Sheet1!$A$16:$A$23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[3]Sheet1!$C$16:$C$23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B-462F-BFFF-23E0503CFF20}"/>
            </c:ext>
          </c:extLst>
        </c:ser>
        <c:ser>
          <c:idx val="2"/>
          <c:order val="2"/>
          <c:tx>
            <c:strRef>
              <c:f>[3]Sheet1!$D$15</c:f>
              <c:strCache>
                <c:ptCount val="1"/>
                <c:pt idx="0">
                  <c:v>Renewal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8000"/>
                    <a:lumMod val="110000"/>
                  </a:schemeClr>
                </a:gs>
                <a:gs pos="84000">
                  <a:schemeClr val="accent3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[3]Sheet1!$A$16:$A$23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[3]Sheet1!$D$16:$D$23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  <c:pt idx="5">
                  <c:v>3</c:v>
                </c:pt>
                <c:pt idx="6">
                  <c:v>18</c:v>
                </c:pt>
                <c:pt idx="7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6B-462F-BFFF-23E0503CFF20}"/>
            </c:ext>
          </c:extLst>
        </c:ser>
        <c:ser>
          <c:idx val="3"/>
          <c:order val="3"/>
          <c:tx>
            <c:strRef>
              <c:f>[3]Sheet1!$E$15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8000"/>
                    <a:lumMod val="110000"/>
                  </a:schemeClr>
                </a:gs>
                <a:gs pos="84000">
                  <a:schemeClr val="accent4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[3]Sheet1!$A$16:$A$23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[3]Sheet1!$E$16:$E$23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18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6B-462F-BFFF-23E0503CFF20}"/>
            </c:ext>
          </c:extLst>
        </c:ser>
        <c:ser>
          <c:idx val="4"/>
          <c:order val="4"/>
          <c:tx>
            <c:strRef>
              <c:f>[3]Sheet1!$F$15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8000"/>
                    <a:lumMod val="110000"/>
                  </a:schemeClr>
                </a:gs>
                <a:gs pos="84000">
                  <a:schemeClr val="accent5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[3]Sheet1!$A$16:$A$23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[3]Sheet1!$F$16:$F$23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14</c:v>
                </c:pt>
                <c:pt idx="4">
                  <c:v>27</c:v>
                </c:pt>
                <c:pt idx="5">
                  <c:v>30</c:v>
                </c:pt>
                <c:pt idx="6">
                  <c:v>36</c:v>
                </c:pt>
                <c:pt idx="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6B-462F-BFFF-23E0503CFF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9127743"/>
        <c:axId val="609128223"/>
      </c:barChart>
      <c:catAx>
        <c:axId val="60912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28223"/>
        <c:crosses val="autoZero"/>
        <c:auto val="1"/>
        <c:lblAlgn val="ctr"/>
        <c:lblOffset val="100"/>
        <c:noMultiLvlLbl val="0"/>
      </c:catAx>
      <c:valAx>
        <c:axId val="60912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2774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98000"/>
                    <a:lumMod val="110000"/>
                  </a:schemeClr>
                </a:gs>
                <a:gs pos="84000">
                  <a:schemeClr val="accent1">
                    <a:shade val="90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88900" dist="38100" dir="504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>
                <a:rot lat="0" lon="0" rev="1200000"/>
              </a:lightRig>
            </a:scene3d>
            <a:sp3d>
              <a:bevelT w="3810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[1]Sheet1!$N$22:$N$31</c:f>
              <c:strCache>
                <c:ptCount val="10"/>
                <c:pt idx="0">
                  <c:v>CP-PDBI</c:v>
                </c:pt>
                <c:pt idx="1">
                  <c:v>OP-GMC</c:v>
                </c:pt>
                <c:pt idx="2">
                  <c:v>DS- Employees GMC</c:v>
                </c:pt>
                <c:pt idx="3">
                  <c:v>BE-Mega policy</c:v>
                </c:pt>
                <c:pt idx="4">
                  <c:v>FM-Group Mediclaim</c:v>
                </c:pt>
                <c:pt idx="5">
                  <c:v>DB -Terrorism Policy</c:v>
                </c:pt>
                <c:pt idx="6">
                  <c:v>CVP GMC</c:v>
                </c:pt>
                <c:pt idx="7">
                  <c:v>EL-Group Mediclaim</c:v>
                </c:pt>
                <c:pt idx="8">
                  <c:v>DB -Mega Policy</c:v>
                </c:pt>
                <c:pt idx="9">
                  <c:v>Fire</c:v>
                </c:pt>
              </c:strCache>
            </c:strRef>
          </c:cat>
          <c:val>
            <c:numRef>
              <c:f>[1]Sheet1!$O$22:$O$31</c:f>
              <c:numCache>
                <c:formatCode>General</c:formatCode>
                <c:ptCount val="10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3-47A2-9E9E-F4420BEC7E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82623871"/>
        <c:axId val="582624351"/>
      </c:barChart>
      <c:catAx>
        <c:axId val="58262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24351"/>
        <c:crosses val="autoZero"/>
        <c:auto val="1"/>
        <c:lblAlgn val="ctr"/>
        <c:lblOffset val="100"/>
        <c:noMultiLvlLbl val="0"/>
      </c:catAx>
      <c:valAx>
        <c:axId val="582624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26238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[4]Sheet1!$F$4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[4]Sheet1!$G$3:$I$3</c:f>
              <c:strCache>
                <c:ptCount val="3"/>
                <c:pt idx="0">
                  <c:v>Invoice</c:v>
                </c:pt>
                <c:pt idx="1">
                  <c:v>Target</c:v>
                </c:pt>
                <c:pt idx="2">
                  <c:v>Acheivement</c:v>
                </c:pt>
              </c:strCache>
            </c:strRef>
          </c:cat>
          <c:val>
            <c:numRef>
              <c:f>[4]Sheet1!$G$4:$I$4</c:f>
              <c:numCache>
                <c:formatCode>General</c:formatCode>
                <c:ptCount val="3"/>
                <c:pt idx="0">
                  <c:v>28.538419999999999</c:v>
                </c:pt>
                <c:pt idx="1">
                  <c:v>72.900000000000006</c:v>
                </c:pt>
                <c:pt idx="2">
                  <c:v>130.412533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9-4B11-BDA4-C31EBDFE2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2319999"/>
        <c:axId val="242303679"/>
      </c:barChart>
      <c:catAx>
        <c:axId val="242319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03679"/>
        <c:crosses val="autoZero"/>
        <c:auto val="1"/>
        <c:lblAlgn val="ctr"/>
        <c:lblOffset val="100"/>
        <c:noMultiLvlLbl val="0"/>
      </c:catAx>
      <c:valAx>
        <c:axId val="242303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231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1"/>
    <a:lstStyle/>
    <a:p>
      <a:pPr>
        <a:defRPr>
          <a:ln w="3175"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ln w="3175"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[4]Sheet1!$F$6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[4]Sheet1!$G$5:$I$5</c:f>
              <c:strCache>
                <c:ptCount val="3"/>
                <c:pt idx="0">
                  <c:v>Invoice</c:v>
                </c:pt>
                <c:pt idx="1">
                  <c:v>Target</c:v>
                </c:pt>
                <c:pt idx="2">
                  <c:v>Acheivement</c:v>
                </c:pt>
              </c:strCache>
            </c:strRef>
          </c:cat>
          <c:val>
            <c:numRef>
              <c:f>[4]Sheet1!$G$6:$I$6</c:f>
              <c:numCache>
                <c:formatCode>General</c:formatCode>
                <c:ptCount val="3"/>
                <c:pt idx="0">
                  <c:v>5.69815</c:v>
                </c:pt>
                <c:pt idx="1">
                  <c:v>41</c:v>
                </c:pt>
                <c:pt idx="2">
                  <c:v>35.316293099999989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8-4A54-909C-1220C59BF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2326239"/>
        <c:axId val="242327679"/>
      </c:barChart>
      <c:catAx>
        <c:axId val="242326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ln w="3175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27679"/>
        <c:crosses val="autoZero"/>
        <c:auto val="1"/>
        <c:lblAlgn val="ctr"/>
        <c:lblOffset val="100"/>
        <c:noMultiLvlLbl val="0"/>
      </c:catAx>
      <c:valAx>
        <c:axId val="242327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232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ln w="3175">
            <a:noFill/>
          </a:ln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38692038495189"/>
          <c:y val="0.19486111111111112"/>
          <c:w val="0.7593493000874890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[4]Sheet1!$F$8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[4]Sheet1!$G$7:$I$7</c:f>
              <c:strCache>
                <c:ptCount val="3"/>
                <c:pt idx="0">
                  <c:v>Invoice</c:v>
                </c:pt>
                <c:pt idx="1">
                  <c:v>Target</c:v>
                </c:pt>
                <c:pt idx="2">
                  <c:v>Acheivement</c:v>
                </c:pt>
              </c:strCache>
            </c:strRef>
          </c:cat>
          <c:val>
            <c:numRef>
              <c:f>[4]Sheet1!$G$8:$I$8</c:f>
              <c:numCache>
                <c:formatCode>General</c:formatCode>
                <c:ptCount val="3"/>
                <c:pt idx="0">
                  <c:v>82.443100000000001</c:v>
                </c:pt>
                <c:pt idx="1">
                  <c:v>95.2</c:v>
                </c:pt>
                <c:pt idx="2">
                  <c:v>185.07270640000016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5-47D3-826E-CA475AB20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2352639"/>
        <c:axId val="242336319"/>
      </c:barChart>
      <c:catAx>
        <c:axId val="24235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6319"/>
        <c:crosses val="autoZero"/>
        <c:auto val="1"/>
        <c:lblAlgn val="ctr"/>
        <c:lblOffset val="100"/>
        <c:noMultiLvlLbl val="0"/>
      </c:catAx>
      <c:valAx>
        <c:axId val="2423363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235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Stage Funnel by Revenue</cx:v>
        </cx:txData>
      </cx:tx>
      <cx:spPr>
        <a:solidFill>
          <a:schemeClr val="bg2">
            <a:lumMod val="9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Stage Funnel by Revenue</a:t>
          </a:r>
        </a:p>
      </cx:txPr>
    </cx:title>
    <cx:plotArea>
      <cx:plotAreaRegion>
        <cx:series layoutId="funnel" uniqueId="{207462D2-9F2C-4E8D-9BDA-B9F49B09346F}">
          <cx:dataLabels>
            <cx:numFmt formatCode="#,##0.00K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chemeClr val="bg2"/>
                    </a:solidFill>
                  </a:defRPr>
                </a:pPr>
                <a:endParaRPr lang="en-US" sz="900" b="0" i="0" u="none" strike="noStrike" baseline="0">
                  <a:solidFill>
                    <a:schemeClr val="bg2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5"/>
        <cx:tickLabels/>
      </cx:axis>
    </cx:plotArea>
  </cx:chart>
  <cx:spPr>
    <a:ln w="28575"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9071</xdr:colOff>
      <xdr:row>0</xdr:row>
      <xdr:rowOff>0</xdr:rowOff>
    </xdr:from>
    <xdr:to>
      <xdr:col>24</xdr:col>
      <xdr:colOff>537875</xdr:colOff>
      <xdr:row>45</xdr:row>
      <xdr:rowOff>158557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6ECA895-7454-BFF7-CBE2-EFD1DFCB18EC}"/>
            </a:ext>
          </a:extLst>
        </xdr:cNvPr>
        <xdr:cNvGrpSpPr/>
      </xdr:nvGrpSpPr>
      <xdr:grpSpPr>
        <a:xfrm>
          <a:off x="9071" y="0"/>
          <a:ext cx="15115661" cy="9547486"/>
          <a:chOff x="9071" y="0"/>
          <a:chExt cx="15115661" cy="8322843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262C7DD-C968-AA53-C0F6-0900897D58B2}"/>
              </a:ext>
            </a:extLst>
          </xdr:cNvPr>
          <xdr:cNvGrpSpPr/>
        </xdr:nvGrpSpPr>
        <xdr:grpSpPr>
          <a:xfrm>
            <a:off x="11206" y="0"/>
            <a:ext cx="15113526" cy="1303618"/>
            <a:chOff x="11206" y="0"/>
            <a:chExt cx="15049493" cy="1367118"/>
          </a:xfrm>
          <a:solidFill>
            <a:srgbClr val="92D050"/>
          </a:solidFill>
        </xdr:grpSpPr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BB8B97D6-2FA1-9315-EB3B-7925BED2B201}"/>
                </a:ext>
              </a:extLst>
            </xdr:cNvPr>
            <xdr:cNvGrpSpPr/>
          </xdr:nvGrpSpPr>
          <xdr:grpSpPr>
            <a:xfrm>
              <a:off x="11206" y="0"/>
              <a:ext cx="15049493" cy="1367118"/>
              <a:chOff x="11206" y="0"/>
              <a:chExt cx="15049493" cy="1367118"/>
            </a:xfrm>
            <a:grpFill/>
          </xdr:grpSpPr>
          <xdr:sp macro="" textlink="">
            <xdr:nvSpPr>
              <xdr:cNvPr id="3" name="Rectangle 2">
                <a:extLst>
                  <a:ext uri="{FF2B5EF4-FFF2-40B4-BE49-F238E27FC236}">
                    <a16:creationId xmlns:a16="http://schemas.microsoft.com/office/drawing/2014/main" id="{1F90E5C4-C0D5-DCB0-0652-F9A3A6DC158D}"/>
                  </a:ext>
                </a:extLst>
              </xdr:cNvPr>
              <xdr:cNvSpPr/>
            </xdr:nvSpPr>
            <xdr:spPr>
              <a:xfrm>
                <a:off x="11206" y="0"/>
                <a:ext cx="15038294" cy="705971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" name="Rectangle: Diagonal Corners Rounded 5">
                <a:extLst>
                  <a:ext uri="{FF2B5EF4-FFF2-40B4-BE49-F238E27FC236}">
                    <a16:creationId xmlns:a16="http://schemas.microsoft.com/office/drawing/2014/main" id="{76CC6132-726A-0461-C575-2DAA4A53F84D}"/>
                  </a:ext>
                </a:extLst>
              </xdr:cNvPr>
              <xdr:cNvSpPr/>
            </xdr:nvSpPr>
            <xdr:spPr>
              <a:xfrm flipH="1" flipV="1">
                <a:off x="3473824" y="44816"/>
                <a:ext cx="11586875" cy="1322302"/>
              </a:xfrm>
              <a:prstGeom prst="round2DiagRect">
                <a:avLst>
                  <a:gd name="adj1" fmla="val 16667"/>
                  <a:gd name="adj2" fmla="val 5000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>
                  <a:solidFill>
                    <a:schemeClr val="accent6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FF86A9D-8FFA-7278-83F4-57B8A2EA603B}"/>
                </a:ext>
              </a:extLst>
            </xdr:cNvPr>
            <xdr:cNvSpPr txBox="1"/>
          </xdr:nvSpPr>
          <xdr:spPr>
            <a:xfrm>
              <a:off x="89648" y="100853"/>
              <a:ext cx="3305734" cy="50426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2000">
                  <a:latin typeface="Amasis MT Pro Medium" panose="02040604050005020304" pitchFamily="18" charset="0"/>
                </a:rPr>
                <a:t>Weekly Branch Dashboard</a:t>
              </a:r>
            </a:p>
          </xdr:txBody>
        </xdr: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658D526E-C981-C4A9-80F1-0C297585A7E5}"/>
              </a:ext>
            </a:extLst>
          </xdr:cNvPr>
          <xdr:cNvGrpSpPr/>
        </xdr:nvGrpSpPr>
        <xdr:grpSpPr>
          <a:xfrm>
            <a:off x="63506" y="807357"/>
            <a:ext cx="3374565" cy="1768929"/>
            <a:chOff x="190500" y="684057"/>
            <a:chExt cx="3205006" cy="1199030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2B1CB40F-5EFA-03C4-1650-B6A312CA6EBE}"/>
                </a:ext>
              </a:extLst>
            </xdr:cNvPr>
            <xdr:cNvGrpSpPr/>
          </xdr:nvGrpSpPr>
          <xdr:grpSpPr>
            <a:xfrm>
              <a:off x="190500" y="684057"/>
              <a:ext cx="3205006" cy="1199030"/>
              <a:chOff x="107577" y="768724"/>
              <a:chExt cx="3422276" cy="1199030"/>
            </a:xfrm>
            <a:solidFill>
              <a:schemeClr val="tx2">
                <a:lumMod val="75000"/>
                <a:lumOff val="25000"/>
              </a:schemeClr>
            </a:solidFill>
          </xdr:grpSpPr>
          <xdr:grpSp>
            <xdr:nvGrpSpPr>
              <xdr:cNvPr id="102" name="Group 101">
                <a:extLst>
                  <a:ext uri="{FF2B5EF4-FFF2-40B4-BE49-F238E27FC236}">
                    <a16:creationId xmlns:a16="http://schemas.microsoft.com/office/drawing/2014/main" id="{1B8AFEAB-40B5-2358-0D82-EE65082976CB}"/>
                  </a:ext>
                </a:extLst>
              </xdr:cNvPr>
              <xdr:cNvGrpSpPr/>
            </xdr:nvGrpSpPr>
            <xdr:grpSpPr>
              <a:xfrm>
                <a:off x="107577" y="768724"/>
                <a:ext cx="3422276" cy="1199030"/>
                <a:chOff x="107577" y="768724"/>
                <a:chExt cx="3422276" cy="1199030"/>
              </a:xfrm>
              <a:grpFill/>
            </xdr:grpSpPr>
            <xdr:sp macro="" textlink="">
              <xdr:nvSpPr>
                <xdr:cNvPr id="98" name="Rectangle: Top Corners Rounded 97">
                  <a:extLst>
                    <a:ext uri="{FF2B5EF4-FFF2-40B4-BE49-F238E27FC236}">
                      <a16:creationId xmlns:a16="http://schemas.microsoft.com/office/drawing/2014/main" id="{0FFF9C26-8F89-A154-96E4-293849D10048}"/>
                    </a:ext>
                  </a:extLst>
                </xdr:cNvPr>
                <xdr:cNvSpPr/>
              </xdr:nvSpPr>
              <xdr:spPr>
                <a:xfrm>
                  <a:off x="107577" y="768724"/>
                  <a:ext cx="3422276" cy="1199030"/>
                </a:xfrm>
                <a:prstGeom prst="round2SameRect">
                  <a:avLst/>
                </a:prstGeom>
                <a:grpFill/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  <xdr:sp macro="" textlink="">
              <xdr:nvSpPr>
                <xdr:cNvPr id="100" name="Rectangle: Rounded Corners 99">
                  <a:extLst>
                    <a:ext uri="{FF2B5EF4-FFF2-40B4-BE49-F238E27FC236}">
                      <a16:creationId xmlns:a16="http://schemas.microsoft.com/office/drawing/2014/main" id="{55E7DC48-5FF3-976F-95C0-047444B49638}"/>
                    </a:ext>
                  </a:extLst>
                </xdr:cNvPr>
                <xdr:cNvSpPr/>
              </xdr:nvSpPr>
              <xdr:spPr>
                <a:xfrm>
                  <a:off x="134469" y="1143000"/>
                  <a:ext cx="1624855" cy="806824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  <xdr:sp macro="" textlink="">
              <xdr:nvSpPr>
                <xdr:cNvPr id="101" name="Rectangle: Rounded Corners 100">
                  <a:extLst>
                    <a:ext uri="{FF2B5EF4-FFF2-40B4-BE49-F238E27FC236}">
                      <a16:creationId xmlns:a16="http://schemas.microsoft.com/office/drawing/2014/main" id="{0BBF181F-61AC-6021-77B1-A81B65B32C99}"/>
                    </a:ext>
                  </a:extLst>
                </xdr:cNvPr>
                <xdr:cNvSpPr/>
              </xdr:nvSpPr>
              <xdr:spPr>
                <a:xfrm>
                  <a:off x="1837766" y="1109382"/>
                  <a:ext cx="1680882" cy="835960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100"/>
                </a:p>
              </xdr:txBody>
            </xdr:sp>
          </xdr:grpSp>
          <xdr:sp macro="" textlink="Sheet1!D7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156F88F6-C704-841C-0B87-350A9368A2C9}"/>
                  </a:ext>
                </a:extLst>
              </xdr:cNvPr>
              <xdr:cNvSpPr txBox="1"/>
            </xdr:nvSpPr>
            <xdr:spPr>
              <a:xfrm>
                <a:off x="1972235" y="1120589"/>
                <a:ext cx="1434353" cy="302557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30188507-DF8A-4998-82C9-38E0BD95DF46}" type="TxLink">
                  <a:rPr lang="en-US" sz="2000" b="1" i="0" u="none" strike="noStrike">
                    <a:solidFill>
                      <a:schemeClr val="bg1">
                        <a:lumMod val="85000"/>
                      </a:schemeClr>
                    </a:solidFill>
                    <a:latin typeface="Aptos Narrow"/>
                  </a:rPr>
                  <a:pPr algn="ctr"/>
                  <a:t>2020</a:t>
                </a:fld>
                <a:endParaRPr lang="en-IN" sz="2000" b="1">
                  <a:solidFill>
                    <a:schemeClr val="bg1">
                      <a:lumMod val="85000"/>
                    </a:schemeClr>
                  </a:solidFill>
                </a:endParaRPr>
              </a:p>
            </xdr:txBody>
          </xdr:sp>
          <xdr:sp macro="" textlink="Sheet1!D9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81F0E71A-BC8F-BB41-03D7-6E00D0D7F2E9}"/>
                  </a:ext>
                </a:extLst>
              </xdr:cNvPr>
              <xdr:cNvSpPr txBox="1"/>
            </xdr:nvSpPr>
            <xdr:spPr>
              <a:xfrm>
                <a:off x="1967753" y="1434353"/>
                <a:ext cx="1434353" cy="454960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D816AFDA-AFBB-4C5F-B9FC-D1582980489C}" type="TxLink">
                  <a:rPr lang="en-US" sz="4400" b="1" i="0" u="none" strike="noStrike">
                    <a:solidFill>
                      <a:srgbClr val="000000"/>
                    </a:solidFill>
                    <a:effectLst>
                      <a:glow rad="101600">
                        <a:schemeClr val="accent4">
                          <a:satMod val="175000"/>
                          <a:alpha val="40000"/>
                        </a:schemeClr>
                      </a:glow>
                    </a:effectLst>
                    <a:latin typeface="Aptos Narrow"/>
                  </a:rPr>
                  <a:pPr algn="ctr"/>
                  <a:t>31</a:t>
                </a:fld>
                <a:endParaRPr lang="en-IN" sz="4400" b="1"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</a:endParaRPr>
              </a:p>
            </xdr:txBody>
          </xdr:sp>
          <xdr:sp macro="" textlink="Sheet1!C9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A5DB69C0-C2F9-9287-AFEB-2542389DCD10}"/>
                  </a:ext>
                </a:extLst>
              </xdr:cNvPr>
              <xdr:cNvSpPr txBox="1"/>
            </xdr:nvSpPr>
            <xdr:spPr>
              <a:xfrm>
                <a:off x="226359" y="1423147"/>
                <a:ext cx="1434353" cy="472889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30609E61-F030-4105-A2C9-F9D20C2E8B86}" type="TxLink">
                  <a:rPr lang="en-US" sz="4400" b="1" i="0" u="none" strike="noStrike">
                    <a:solidFill>
                      <a:srgbClr val="000000"/>
                    </a:solidFill>
                    <a:effectLst>
                      <a:glow rad="101600">
                        <a:schemeClr val="accent4">
                          <a:satMod val="175000"/>
                          <a:alpha val="40000"/>
                        </a:schemeClr>
                      </a:glow>
                    </a:effectLst>
                    <a:latin typeface="Aptos Narrow"/>
                  </a:rPr>
                  <a:pPr algn="ctr"/>
                  <a:t>3</a:t>
                </a:fld>
                <a:endParaRPr lang="en-IN" sz="4400" b="1"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</a:endParaRPr>
              </a:p>
            </xdr:txBody>
          </xdr:sp>
          <xdr:sp macro="" textlink="Sheet1!C7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0B4D1853-BF89-3197-073B-241BBEDB54B5}"/>
                  </a:ext>
                </a:extLst>
              </xdr:cNvPr>
              <xdr:cNvSpPr txBox="1"/>
            </xdr:nvSpPr>
            <xdr:spPr>
              <a:xfrm>
                <a:off x="244288" y="1107143"/>
                <a:ext cx="1434353" cy="293592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0ADABD70-AD6A-4F9F-851E-4B9529B1FC3E}" type="TxLink">
                  <a:rPr lang="en-US" sz="2000" b="1" i="0" u="none" strike="noStrike">
                    <a:solidFill>
                      <a:schemeClr val="bg1">
                        <a:lumMod val="85000"/>
                      </a:schemeClr>
                    </a:solidFill>
                    <a:latin typeface="Aptos Narrow"/>
                  </a:rPr>
                  <a:pPr algn="ctr"/>
                  <a:t>2019</a:t>
                </a:fld>
                <a:endParaRPr lang="en-IN" sz="2000" b="1">
                  <a:solidFill>
                    <a:schemeClr val="bg1">
                      <a:lumMod val="8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C45DAD4-9C9C-D95C-5572-DE57A8BAF674}"/>
                </a:ext>
              </a:extLst>
            </xdr:cNvPr>
            <xdr:cNvSpPr txBox="1"/>
          </xdr:nvSpPr>
          <xdr:spPr>
            <a:xfrm rot="10800000" flipV="1">
              <a:off x="255244" y="743946"/>
              <a:ext cx="3067921" cy="268941"/>
            </a:xfrm>
            <a:prstGeom prst="rect">
              <a:avLst/>
            </a:prstGeom>
            <a:solidFill>
              <a:schemeClr val="tx2">
                <a:lumMod val="75000"/>
                <a:lumOff val="2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600" b="1" cap="none" spc="0">
                  <a:ln w="0"/>
                  <a:solidFill>
                    <a:schemeClr val="bg1">
                      <a:lumMod val="8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Yearly</a:t>
              </a:r>
              <a:r>
                <a:rPr lang="en-IN" sz="1600" b="1" cap="none" spc="0" baseline="0">
                  <a:ln w="0"/>
                  <a:solidFill>
                    <a:schemeClr val="bg1">
                      <a:lumMod val="8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 Meeting Count</a:t>
              </a:r>
              <a:endParaRPr lang="en-IN" sz="1600" b="1" cap="none" spc="0">
                <a:ln w="0"/>
                <a:solidFill>
                  <a:schemeClr val="bg1">
                    <a:lumMod val="85000"/>
                  </a:schemeClr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</xdr:grpSp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A9DC0750-AD96-4757-26B2-DB338A09001E}"/>
              </a:ext>
            </a:extLst>
          </xdr:cNvPr>
          <xdr:cNvGrpSpPr/>
        </xdr:nvGrpSpPr>
        <xdr:grpSpPr>
          <a:xfrm>
            <a:off x="36463" y="2757714"/>
            <a:ext cx="3408723" cy="1859640"/>
            <a:chOff x="143809" y="3574054"/>
            <a:chExt cx="3438961" cy="1344706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B1670EA2-F352-A640-73F6-1D3F054B638B}"/>
                </a:ext>
              </a:extLst>
            </xdr:cNvPr>
            <xdr:cNvSpPr/>
          </xdr:nvSpPr>
          <xdr:spPr>
            <a:xfrm>
              <a:off x="143809" y="3574054"/>
              <a:ext cx="3438961" cy="1344706"/>
            </a:xfrm>
            <a:prstGeom prst="rect">
              <a:avLst/>
            </a:prstGeom>
            <a:solidFill>
              <a:schemeClr val="tx2">
                <a:lumMod val="75000"/>
                <a:lumOff val="2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grpSp>
          <xdr:nvGrpSpPr>
            <xdr:cNvPr id="94" name="Group 93">
              <a:extLst>
                <a:ext uri="{FF2B5EF4-FFF2-40B4-BE49-F238E27FC236}">
                  <a16:creationId xmlns:a16="http://schemas.microsoft.com/office/drawing/2014/main" id="{FB1C31BA-AF58-D672-61FD-F9855DB8BC51}"/>
                </a:ext>
              </a:extLst>
            </xdr:cNvPr>
            <xdr:cNvGrpSpPr/>
          </xdr:nvGrpSpPr>
          <xdr:grpSpPr>
            <a:xfrm>
              <a:off x="354854" y="3584015"/>
              <a:ext cx="3095312" cy="1322294"/>
              <a:chOff x="100854" y="2028265"/>
              <a:chExt cx="3573355" cy="1322294"/>
            </a:xfrm>
          </xdr:grpSpPr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BCD8AC8E-061A-1DC6-CCFC-F52F4E33354C}"/>
                  </a:ext>
                </a:extLst>
              </xdr:cNvPr>
              <xdr:cNvSpPr txBox="1"/>
            </xdr:nvSpPr>
            <xdr:spPr>
              <a:xfrm>
                <a:off x="100854" y="2028265"/>
                <a:ext cx="1586256" cy="661147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IN" sz="1600" b="1">
                    <a:solidFill>
                      <a:schemeClr val="bg1">
                        <a:lumMod val="85000"/>
                      </a:schemeClr>
                    </a:solidFill>
                  </a:rPr>
                  <a:t>No.</a:t>
                </a:r>
                <a:r>
                  <a:rPr lang="en-IN" sz="1600" b="1" baseline="0">
                    <a:solidFill>
                      <a:schemeClr val="bg1">
                        <a:lumMod val="85000"/>
                      </a:schemeClr>
                    </a:solidFill>
                  </a:rPr>
                  <a:t> of </a:t>
                </a:r>
                <a:r>
                  <a:rPr lang="en-IN" sz="1600" b="1">
                    <a:solidFill>
                      <a:schemeClr val="bg1">
                        <a:lumMod val="85000"/>
                      </a:schemeClr>
                    </a:solidFill>
                  </a:rPr>
                  <a:t>Oppurtinities</a:t>
                </a:r>
              </a:p>
            </xdr:txBody>
          </xdr:sp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3AC5A345-335A-AD1B-E25E-3DA0704307BE}"/>
                  </a:ext>
                </a:extLst>
              </xdr:cNvPr>
              <xdr:cNvSpPr txBox="1"/>
            </xdr:nvSpPr>
            <xdr:spPr>
              <a:xfrm>
                <a:off x="1709446" y="2087282"/>
                <a:ext cx="1964763" cy="665630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IN" sz="1600" b="1">
                    <a:solidFill>
                      <a:schemeClr val="bg1">
                        <a:lumMod val="85000"/>
                      </a:schemeClr>
                    </a:solidFill>
                  </a:rPr>
                  <a:t>No. of Open Oppurtinities</a:t>
                </a:r>
              </a:p>
            </xdr:txBody>
          </xdr:sp>
          <xdr:sp macro="" textlink="Sheet4!A4">
            <xdr:nvSpPr>
              <xdr:cNvPr id="40" name="TextBox 39">
                <a:extLst>
                  <a:ext uri="{FF2B5EF4-FFF2-40B4-BE49-F238E27FC236}">
                    <a16:creationId xmlns:a16="http://schemas.microsoft.com/office/drawing/2014/main" id="{BFDC7948-ACA2-9476-D261-B9B790796222}"/>
                  </a:ext>
                </a:extLst>
              </xdr:cNvPr>
              <xdr:cNvSpPr txBox="1"/>
            </xdr:nvSpPr>
            <xdr:spPr>
              <a:xfrm>
                <a:off x="134471" y="2667000"/>
                <a:ext cx="1563843" cy="683559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E1882150-2739-46F0-9F9C-A5114BEDB5C0}" type="TxLink">
                  <a:rPr lang="en-US" sz="4400" b="1" i="0" u="none" strike="noStrike">
                    <a:solidFill>
                      <a:srgbClr val="000000"/>
                    </a:solidFill>
                    <a:effectLst>
                      <a:glow rad="228600">
                        <a:schemeClr val="accent4">
                          <a:satMod val="175000"/>
                          <a:alpha val="40000"/>
                        </a:schemeClr>
                      </a:glow>
                      <a:outerShdw blurRad="50800" dist="38100" dir="16200000" rotWithShape="0">
                        <a:prstClr val="black">
                          <a:alpha val="40000"/>
                        </a:prstClr>
                      </a:outerShdw>
                    </a:effectLst>
                    <a:latin typeface="Aptos Narrow"/>
                  </a:rPr>
                  <a:pPr algn="ctr"/>
                  <a:t>49</a:t>
                </a:fld>
                <a:endParaRPr lang="en-IN" sz="4400" b="1">
                  <a:effectLst>
                    <a:glow rad="228600">
                      <a:schemeClr val="accent4">
                        <a:satMod val="175000"/>
                        <a:alpha val="40000"/>
                      </a:schemeClr>
                    </a:glow>
                    <a:outerShdw blurRad="50800" dist="38100" dir="16200000" rotWithShape="0">
                      <a:prstClr val="black">
                        <a:alpha val="40000"/>
                      </a:prstClr>
                    </a:outerShdw>
                  </a:effectLst>
                </a:endParaRPr>
              </a:p>
            </xdr:txBody>
          </xdr:sp>
          <xdr:sp macro="" textlink="Sheet4!D6">
            <xdr:nvSpPr>
              <xdr:cNvPr id="41" name="TextBox 40">
                <a:extLst>
                  <a:ext uri="{FF2B5EF4-FFF2-40B4-BE49-F238E27FC236}">
                    <a16:creationId xmlns:a16="http://schemas.microsoft.com/office/drawing/2014/main" id="{150B8628-018A-586B-311B-4563A2B8C156}"/>
                  </a:ext>
                </a:extLst>
              </xdr:cNvPr>
              <xdr:cNvSpPr txBox="1"/>
            </xdr:nvSpPr>
            <xdr:spPr>
              <a:xfrm>
                <a:off x="1875119" y="2651311"/>
                <a:ext cx="1649008" cy="683559"/>
              </a:xfrm>
              <a:prstGeom prst="rect">
                <a:avLst/>
              </a:prstGeom>
              <a:solidFill>
                <a:schemeClr val="tx2">
                  <a:lumMod val="75000"/>
                  <a:lumOff val="25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BD1B2771-9488-4434-B146-F68B53360A23}" type="TxLink">
                  <a:rPr lang="en-US" sz="4400" b="1" i="0" u="none" strike="noStrike">
                    <a:solidFill>
                      <a:srgbClr val="000000"/>
                    </a:solidFill>
                    <a:effectLst>
                      <a:glow rad="228600">
                        <a:schemeClr val="accent4">
                          <a:satMod val="175000"/>
                          <a:alpha val="40000"/>
                        </a:schemeClr>
                      </a:glow>
                      <a:outerShdw blurRad="50800" dist="38100" algn="l" rotWithShape="0">
                        <a:prstClr val="black">
                          <a:alpha val="40000"/>
                        </a:prstClr>
                      </a:outerShdw>
                    </a:effectLst>
                    <a:latin typeface="Aptos Narrow"/>
                  </a:rPr>
                  <a:pPr algn="ctr"/>
                  <a:t>44</a:t>
                </a:fld>
                <a:endParaRPr lang="en-IN" sz="4400" b="1">
                  <a:effectLst>
                    <a:glow rad="228600">
                      <a:schemeClr val="accent4">
                        <a:satMod val="175000"/>
                        <a:alpha val="40000"/>
                      </a:schemeClr>
                    </a:glow>
                    <a:outerShdw blurRad="50800" dist="38100" algn="l" rotWithShape="0">
                      <a:prstClr val="black">
                        <a:alpha val="40000"/>
                      </a:prstClr>
                    </a:outerShdw>
                  </a:effectLst>
                </a:endParaRPr>
              </a:p>
            </xdr:txBody>
          </xdr:sp>
        </xdr:grpSp>
      </xdr:grp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71FFC6F8-81AD-4932-BE7E-7FD2F524BD4B}"/>
              </a:ext>
            </a:extLst>
          </xdr:cNvPr>
          <xdr:cNvGraphicFramePr>
            <a:graphicFrameLocks/>
          </xdr:cNvGraphicFramePr>
        </xdr:nvGraphicFramePr>
        <xdr:xfrm>
          <a:off x="9071" y="4760447"/>
          <a:ext cx="3438071" cy="35308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6F75F81D-A800-475A-AAA1-5B4BB694B8E2}"/>
              </a:ext>
            </a:extLst>
          </xdr:cNvPr>
          <xdr:cNvGraphicFramePr>
            <a:graphicFrameLocks/>
          </xdr:cNvGraphicFramePr>
        </xdr:nvGraphicFramePr>
        <xdr:xfrm>
          <a:off x="3719817" y="5676843"/>
          <a:ext cx="5547600" cy="264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C3FCE0F6-62FD-4572-8C45-0B2E092F63C8}"/>
              </a:ext>
            </a:extLst>
          </xdr:cNvPr>
          <xdr:cNvGraphicFramePr>
            <a:graphicFrameLocks/>
          </xdr:cNvGraphicFramePr>
        </xdr:nvGraphicFramePr>
        <xdr:xfrm>
          <a:off x="9425215" y="5667677"/>
          <a:ext cx="5547357" cy="26461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A2564AB3-0720-4A63-849C-F9A141155157}"/>
              </a:ext>
            </a:extLst>
          </xdr:cNvPr>
          <xdr:cNvGraphicFramePr>
            <a:graphicFrameLocks/>
          </xdr:cNvGraphicFramePr>
        </xdr:nvGraphicFramePr>
        <xdr:xfrm>
          <a:off x="9407072" y="2920645"/>
          <a:ext cx="5547600" cy="264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42" name="Chart 41">
                <a:extLst>
                  <a:ext uri="{FF2B5EF4-FFF2-40B4-BE49-F238E27FC236}">
                    <a16:creationId xmlns:a16="http://schemas.microsoft.com/office/drawing/2014/main" id="{D0301FE8-6363-4367-B2FB-3B5DD91BF988}"/>
                  </a:ext>
                </a:extLst>
              </xdr:cNvPr>
              <xdr:cNvGraphicFramePr/>
            </xdr:nvGraphicFramePr>
            <xdr:xfrm>
              <a:off x="3710213" y="2929716"/>
              <a:ext cx="5547600" cy="26460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710213" y="2929716"/>
                <a:ext cx="5547600" cy="2646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506FFF8A-7843-7B1B-A9E9-68C7F34C4DCF}"/>
              </a:ext>
            </a:extLst>
          </xdr:cNvPr>
          <xdr:cNvGrpSpPr/>
        </xdr:nvGrpSpPr>
        <xdr:grpSpPr>
          <a:xfrm>
            <a:off x="3664857" y="254000"/>
            <a:ext cx="11284857" cy="2557824"/>
            <a:chOff x="3618258" y="53785"/>
            <a:chExt cx="11211456" cy="2830610"/>
          </a:xfrm>
        </xdr:grpSpPr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4DE0FEC9-38E5-DA67-201E-B514CE239B96}"/>
                </a:ext>
              </a:extLst>
            </xdr:cNvPr>
            <xdr:cNvGrpSpPr/>
          </xdr:nvGrpSpPr>
          <xdr:grpSpPr>
            <a:xfrm>
              <a:off x="3618258" y="80680"/>
              <a:ext cx="3615464" cy="2803715"/>
              <a:chOff x="3618258" y="80680"/>
              <a:chExt cx="3615464" cy="2803715"/>
            </a:xfrm>
          </xdr:grpSpPr>
          <xdr:grpSp>
            <xdr:nvGrpSpPr>
              <xdr:cNvPr id="83" name="Group 82">
                <a:extLst>
                  <a:ext uri="{FF2B5EF4-FFF2-40B4-BE49-F238E27FC236}">
                    <a16:creationId xmlns:a16="http://schemas.microsoft.com/office/drawing/2014/main" id="{9D2D0AB0-4011-C5E4-487B-3B19E0A638C9}"/>
                  </a:ext>
                </a:extLst>
              </xdr:cNvPr>
              <xdr:cNvGrpSpPr/>
            </xdr:nvGrpSpPr>
            <xdr:grpSpPr>
              <a:xfrm>
                <a:off x="3618258" y="80680"/>
                <a:ext cx="3576764" cy="2803715"/>
                <a:chOff x="3574679" y="58268"/>
                <a:chExt cx="3524470" cy="2803715"/>
              </a:xfrm>
            </xdr:grpSpPr>
            <xdr:grpSp>
              <xdr:nvGrpSpPr>
                <xdr:cNvPr id="28" name="Group 27">
                  <a:extLst>
                    <a:ext uri="{FF2B5EF4-FFF2-40B4-BE49-F238E27FC236}">
                      <a16:creationId xmlns:a16="http://schemas.microsoft.com/office/drawing/2014/main" id="{3E651379-6FB3-64C0-8242-F76C5BE0C540}"/>
                    </a:ext>
                  </a:extLst>
                </xdr:cNvPr>
                <xdr:cNvGrpSpPr/>
              </xdr:nvGrpSpPr>
              <xdr:grpSpPr>
                <a:xfrm>
                  <a:off x="3619501" y="58268"/>
                  <a:ext cx="3451410" cy="1905001"/>
                  <a:chOff x="2330824" y="551328"/>
                  <a:chExt cx="3451410" cy="1905001"/>
                </a:xfrm>
                <a:solidFill>
                  <a:schemeClr val="bg1"/>
                </a:solidFill>
              </xdr:grpSpPr>
              <xdr:grpSp>
                <xdr:nvGrpSpPr>
                  <xdr:cNvPr id="22" name="Group 21">
                    <a:extLst>
                      <a:ext uri="{FF2B5EF4-FFF2-40B4-BE49-F238E27FC236}">
                        <a16:creationId xmlns:a16="http://schemas.microsoft.com/office/drawing/2014/main" id="{E9D38EC0-1102-F715-89B2-BEBF58191439}"/>
                      </a:ext>
                    </a:extLst>
                  </xdr:cNvPr>
                  <xdr:cNvGrpSpPr/>
                </xdr:nvGrpSpPr>
                <xdr:grpSpPr>
                  <a:xfrm>
                    <a:off x="2330824" y="551328"/>
                    <a:ext cx="3451410" cy="1905001"/>
                    <a:chOff x="4021630" y="3007657"/>
                    <a:chExt cx="2788102" cy="1905001"/>
                  </a:xfrm>
                  <a:grpFill/>
                </xdr:grpSpPr>
                <xdr:sp macro="" textlink="">
                  <xdr:nvSpPr>
                    <xdr:cNvPr id="23" name="Rectangle 22">
                      <a:extLst>
                        <a:ext uri="{FF2B5EF4-FFF2-40B4-BE49-F238E27FC236}">
                          <a16:creationId xmlns:a16="http://schemas.microsoft.com/office/drawing/2014/main" id="{77CC430A-4433-67C3-AFD9-6FC7BD5F9A32}"/>
                        </a:ext>
                      </a:extLst>
                    </xdr:cNvPr>
                    <xdr:cNvSpPr/>
                  </xdr:nvSpPr>
                  <xdr:spPr>
                    <a:xfrm>
                      <a:off x="4021630" y="3007657"/>
                      <a:ext cx="2774576" cy="1905001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24" name="Rectangle 23">
                      <a:extLst>
                        <a:ext uri="{FF2B5EF4-FFF2-40B4-BE49-F238E27FC236}">
                          <a16:creationId xmlns:a16="http://schemas.microsoft.com/office/drawing/2014/main" id="{E21BD944-6783-3A78-75DA-7766FFAC510F}"/>
                        </a:ext>
                      </a:extLst>
                    </xdr:cNvPr>
                    <xdr:cNvSpPr/>
                  </xdr:nvSpPr>
                  <xdr:spPr>
                    <a:xfrm>
                      <a:off x="4075939" y="3059204"/>
                      <a:ext cx="2733793" cy="1840009"/>
                    </a:xfrm>
                    <a:prstGeom prst="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sp macro="" textlink="">
                <xdr:nvSpPr>
                  <xdr:cNvPr id="25" name="TextBox 24">
                    <a:extLst>
                      <a:ext uri="{FF2B5EF4-FFF2-40B4-BE49-F238E27FC236}">
                        <a16:creationId xmlns:a16="http://schemas.microsoft.com/office/drawing/2014/main" id="{DA0F4E2C-8035-BD70-BC0F-9EB0301496E8}"/>
                      </a:ext>
                    </a:extLst>
                  </xdr:cNvPr>
                  <xdr:cNvSpPr txBox="1"/>
                </xdr:nvSpPr>
                <xdr:spPr>
                  <a:xfrm>
                    <a:off x="2398059" y="616324"/>
                    <a:ext cx="3372971" cy="302558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lang="en-IN" sz="2000" b="1"/>
                      <a:t>CROSS SEll</a:t>
                    </a:r>
                  </a:p>
                </xdr:txBody>
              </xdr:sp>
            </xdr:grpSp>
            <xdr:grpSp>
              <xdr:nvGrpSpPr>
                <xdr:cNvPr id="80" name="Group 79">
                  <a:extLst>
                    <a:ext uri="{FF2B5EF4-FFF2-40B4-BE49-F238E27FC236}">
                      <a16:creationId xmlns:a16="http://schemas.microsoft.com/office/drawing/2014/main" id="{47487EAD-F50E-66F0-B38B-6FCCB7121DB8}"/>
                    </a:ext>
                  </a:extLst>
                </xdr:cNvPr>
                <xdr:cNvGrpSpPr/>
              </xdr:nvGrpSpPr>
              <xdr:grpSpPr>
                <a:xfrm>
                  <a:off x="3574679" y="2012575"/>
                  <a:ext cx="3524470" cy="849408"/>
                  <a:chOff x="3574679" y="2012575"/>
                  <a:chExt cx="3524470" cy="849408"/>
                </a:xfrm>
              </xdr:grpSpPr>
              <xdr:grpSp>
                <xdr:nvGrpSpPr>
                  <xdr:cNvPr id="44" name="Group 43">
                    <a:extLst>
                      <a:ext uri="{FF2B5EF4-FFF2-40B4-BE49-F238E27FC236}">
                        <a16:creationId xmlns:a16="http://schemas.microsoft.com/office/drawing/2014/main" id="{A3D92CD3-BB72-9FB8-1C12-B27C7D734C3E}"/>
                      </a:ext>
                    </a:extLst>
                  </xdr:cNvPr>
                  <xdr:cNvGrpSpPr/>
                </xdr:nvGrpSpPr>
                <xdr:grpSpPr>
                  <a:xfrm>
                    <a:off x="3574679" y="2017058"/>
                    <a:ext cx="1714497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45" name="Rectangle: Rounded Corners 44">
                      <a:extLst>
                        <a:ext uri="{FF2B5EF4-FFF2-40B4-BE49-F238E27FC236}">
                          <a16:creationId xmlns:a16="http://schemas.microsoft.com/office/drawing/2014/main" id="{DC78DCB8-36DE-C216-70DD-E40665CE70C1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46" name="Rectangle: Rounded Corners 45">
                      <a:extLst>
                        <a:ext uri="{FF2B5EF4-FFF2-40B4-BE49-F238E27FC236}">
                          <a16:creationId xmlns:a16="http://schemas.microsoft.com/office/drawing/2014/main" id="{A25FCE31-66F5-9439-679E-29A79931EBD0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grpSp>
                <xdr:nvGrpSpPr>
                  <xdr:cNvPr id="53" name="Group 52">
                    <a:extLst>
                      <a:ext uri="{FF2B5EF4-FFF2-40B4-BE49-F238E27FC236}">
                        <a16:creationId xmlns:a16="http://schemas.microsoft.com/office/drawing/2014/main" id="{A7AE5EBD-21D2-4F1B-A29D-62AE2856C57E}"/>
                      </a:ext>
                    </a:extLst>
                  </xdr:cNvPr>
                  <xdr:cNvGrpSpPr/>
                </xdr:nvGrpSpPr>
                <xdr:grpSpPr>
                  <a:xfrm>
                    <a:off x="5385549" y="2012575"/>
                    <a:ext cx="1713600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54" name="Rectangle: Rounded Corners 53">
                      <a:extLst>
                        <a:ext uri="{FF2B5EF4-FFF2-40B4-BE49-F238E27FC236}">
                          <a16:creationId xmlns:a16="http://schemas.microsoft.com/office/drawing/2014/main" id="{E8248A3E-76A4-9624-6F18-E7E49F5CD4E4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55" name="Rectangle: Rounded Corners 54">
                      <a:extLst>
                        <a:ext uri="{FF2B5EF4-FFF2-40B4-BE49-F238E27FC236}">
                          <a16:creationId xmlns:a16="http://schemas.microsoft.com/office/drawing/2014/main" id="{EEC396DC-E25D-CF9D-F386-253D9752F687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</xdr:grpSp>
          </xdr:grpSp>
          <xdr:graphicFrame macro="">
            <xdr:nvGraphicFramePr>
              <xdr:cNvPr id="47" name="Chart 46">
                <a:extLst>
                  <a:ext uri="{FF2B5EF4-FFF2-40B4-BE49-F238E27FC236}">
                    <a16:creationId xmlns:a16="http://schemas.microsoft.com/office/drawing/2014/main" id="{081A2E7C-2B7E-4DE5-AC69-1E9AB4B7C96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754721" y="493057"/>
              <a:ext cx="3479001" cy="145676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grpSp>
          <xdr:nvGrpSpPr>
            <xdr:cNvPr id="50" name="Group 49">
              <a:extLst>
                <a:ext uri="{FF2B5EF4-FFF2-40B4-BE49-F238E27FC236}">
                  <a16:creationId xmlns:a16="http://schemas.microsoft.com/office/drawing/2014/main" id="{A2B62664-C141-01C5-EF2E-F4FFC78460D9}"/>
                </a:ext>
              </a:extLst>
            </xdr:cNvPr>
            <xdr:cNvGrpSpPr/>
          </xdr:nvGrpSpPr>
          <xdr:grpSpPr>
            <a:xfrm>
              <a:off x="7451167" y="53785"/>
              <a:ext cx="3568049" cy="2803716"/>
              <a:chOff x="7346579" y="53785"/>
              <a:chExt cx="3524470" cy="2803716"/>
            </a:xfrm>
          </xdr:grpSpPr>
          <xdr:grpSp>
            <xdr:nvGrpSpPr>
              <xdr:cNvPr id="84" name="Group 83">
                <a:extLst>
                  <a:ext uri="{FF2B5EF4-FFF2-40B4-BE49-F238E27FC236}">
                    <a16:creationId xmlns:a16="http://schemas.microsoft.com/office/drawing/2014/main" id="{04F8027E-8A62-E8FE-31D0-57CE2FF5A527}"/>
                  </a:ext>
                </a:extLst>
              </xdr:cNvPr>
              <xdr:cNvGrpSpPr/>
            </xdr:nvGrpSpPr>
            <xdr:grpSpPr>
              <a:xfrm>
                <a:off x="7346579" y="53785"/>
                <a:ext cx="3524470" cy="2803716"/>
                <a:chOff x="7346579" y="53785"/>
                <a:chExt cx="3524470" cy="2803716"/>
              </a:xfrm>
            </xdr:grpSpPr>
            <xdr:grpSp>
              <xdr:nvGrpSpPr>
                <xdr:cNvPr id="4" name="Group 3">
                  <a:extLst>
                    <a:ext uri="{FF2B5EF4-FFF2-40B4-BE49-F238E27FC236}">
                      <a16:creationId xmlns:a16="http://schemas.microsoft.com/office/drawing/2014/main" id="{B23EFD28-8A6A-F8DB-3C30-B3B22891D060}"/>
                    </a:ext>
                  </a:extLst>
                </xdr:cNvPr>
                <xdr:cNvGrpSpPr/>
              </xdr:nvGrpSpPr>
              <xdr:grpSpPr>
                <a:xfrm>
                  <a:off x="7368989" y="53785"/>
                  <a:ext cx="3451410" cy="1905001"/>
                  <a:chOff x="2330824" y="551328"/>
                  <a:chExt cx="3451410" cy="1905001"/>
                </a:xfrm>
                <a:solidFill>
                  <a:schemeClr val="bg1"/>
                </a:solidFill>
              </xdr:grpSpPr>
              <xdr:grpSp>
                <xdr:nvGrpSpPr>
                  <xdr:cNvPr id="5" name="Group 4">
                    <a:extLst>
                      <a:ext uri="{FF2B5EF4-FFF2-40B4-BE49-F238E27FC236}">
                        <a16:creationId xmlns:a16="http://schemas.microsoft.com/office/drawing/2014/main" id="{4B7F1145-57EA-E12E-A569-F8290A2125DA}"/>
                      </a:ext>
                    </a:extLst>
                  </xdr:cNvPr>
                  <xdr:cNvGrpSpPr/>
                </xdr:nvGrpSpPr>
                <xdr:grpSpPr>
                  <a:xfrm>
                    <a:off x="2330824" y="551328"/>
                    <a:ext cx="3451410" cy="1905001"/>
                    <a:chOff x="4021630" y="3007657"/>
                    <a:chExt cx="2788102" cy="1905001"/>
                  </a:xfrm>
                  <a:grpFill/>
                </xdr:grpSpPr>
                <xdr:sp macro="" textlink="">
                  <xdr:nvSpPr>
                    <xdr:cNvPr id="9" name="Rectangle 8">
                      <a:extLst>
                        <a:ext uri="{FF2B5EF4-FFF2-40B4-BE49-F238E27FC236}">
                          <a16:creationId xmlns:a16="http://schemas.microsoft.com/office/drawing/2014/main" id="{6E19AE65-EC88-CF9B-1D69-64B3AB853DEC}"/>
                        </a:ext>
                      </a:extLst>
                    </xdr:cNvPr>
                    <xdr:cNvSpPr/>
                  </xdr:nvSpPr>
                  <xdr:spPr>
                    <a:xfrm>
                      <a:off x="4021630" y="3007657"/>
                      <a:ext cx="2774576" cy="1905001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10" name="Rectangle 9">
                      <a:extLst>
                        <a:ext uri="{FF2B5EF4-FFF2-40B4-BE49-F238E27FC236}">
                          <a16:creationId xmlns:a16="http://schemas.microsoft.com/office/drawing/2014/main" id="{235028AD-C2B6-5F73-3FF8-99DE6858FC35}"/>
                        </a:ext>
                      </a:extLst>
                    </xdr:cNvPr>
                    <xdr:cNvSpPr/>
                  </xdr:nvSpPr>
                  <xdr:spPr>
                    <a:xfrm>
                      <a:off x="4075939" y="3059204"/>
                      <a:ext cx="2733793" cy="1840009"/>
                    </a:xfrm>
                    <a:prstGeom prst="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sp macro="" textlink="">
                <xdr:nvSpPr>
                  <xdr:cNvPr id="7" name="TextBox 6">
                    <a:extLst>
                      <a:ext uri="{FF2B5EF4-FFF2-40B4-BE49-F238E27FC236}">
                        <a16:creationId xmlns:a16="http://schemas.microsoft.com/office/drawing/2014/main" id="{FE8FC591-51FC-0A91-3235-A8861EC75DF9}"/>
                      </a:ext>
                    </a:extLst>
                  </xdr:cNvPr>
                  <xdr:cNvSpPr txBox="1"/>
                </xdr:nvSpPr>
                <xdr:spPr>
                  <a:xfrm>
                    <a:off x="2398059" y="616324"/>
                    <a:ext cx="3372971" cy="302558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lang="en-IN" sz="2000" b="1"/>
                      <a:t>NEW</a:t>
                    </a:r>
                  </a:p>
                </xdr:txBody>
              </xdr:sp>
            </xdr:grpSp>
            <xdr:grpSp>
              <xdr:nvGrpSpPr>
                <xdr:cNvPr id="81" name="Group 80">
                  <a:extLst>
                    <a:ext uri="{FF2B5EF4-FFF2-40B4-BE49-F238E27FC236}">
                      <a16:creationId xmlns:a16="http://schemas.microsoft.com/office/drawing/2014/main" id="{8B881F89-D829-2BC0-DF11-72500E53C002}"/>
                    </a:ext>
                  </a:extLst>
                </xdr:cNvPr>
                <xdr:cNvGrpSpPr/>
              </xdr:nvGrpSpPr>
              <xdr:grpSpPr>
                <a:xfrm>
                  <a:off x="7346579" y="2008093"/>
                  <a:ext cx="3524470" cy="849408"/>
                  <a:chOff x="7346579" y="2008093"/>
                  <a:chExt cx="3524470" cy="849408"/>
                </a:xfrm>
              </xdr:grpSpPr>
              <xdr:grpSp>
                <xdr:nvGrpSpPr>
                  <xdr:cNvPr id="74" name="Group 73">
                    <a:extLst>
                      <a:ext uri="{FF2B5EF4-FFF2-40B4-BE49-F238E27FC236}">
                        <a16:creationId xmlns:a16="http://schemas.microsoft.com/office/drawing/2014/main" id="{2CAD8EA4-699B-3695-B23A-1CAEBECE400A}"/>
                      </a:ext>
                    </a:extLst>
                  </xdr:cNvPr>
                  <xdr:cNvGrpSpPr/>
                </xdr:nvGrpSpPr>
                <xdr:grpSpPr>
                  <a:xfrm>
                    <a:off x="7346579" y="2012576"/>
                    <a:ext cx="1714497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75" name="Rectangle: Rounded Corners 74">
                      <a:extLst>
                        <a:ext uri="{FF2B5EF4-FFF2-40B4-BE49-F238E27FC236}">
                          <a16:creationId xmlns:a16="http://schemas.microsoft.com/office/drawing/2014/main" id="{94F82E65-756F-1B0D-FE4F-B339EDBB84AB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76" name="Rectangle: Rounded Corners 75">
                      <a:extLst>
                        <a:ext uri="{FF2B5EF4-FFF2-40B4-BE49-F238E27FC236}">
                          <a16:creationId xmlns:a16="http://schemas.microsoft.com/office/drawing/2014/main" id="{CB30A13E-3941-4952-5C64-E3B56CDE5B95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grpSp>
                <xdr:nvGrpSpPr>
                  <xdr:cNvPr id="77" name="Group 76">
                    <a:extLst>
                      <a:ext uri="{FF2B5EF4-FFF2-40B4-BE49-F238E27FC236}">
                        <a16:creationId xmlns:a16="http://schemas.microsoft.com/office/drawing/2014/main" id="{40A2528B-12D4-6A4D-1B16-552BE911EED9}"/>
                      </a:ext>
                    </a:extLst>
                  </xdr:cNvPr>
                  <xdr:cNvGrpSpPr/>
                </xdr:nvGrpSpPr>
                <xdr:grpSpPr>
                  <a:xfrm>
                    <a:off x="9157449" y="2008093"/>
                    <a:ext cx="1713600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78" name="Rectangle: Rounded Corners 77">
                      <a:extLst>
                        <a:ext uri="{FF2B5EF4-FFF2-40B4-BE49-F238E27FC236}">
                          <a16:creationId xmlns:a16="http://schemas.microsoft.com/office/drawing/2014/main" id="{C5D55AFF-7520-AD5D-786A-6594690A9AB1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79" name="Rectangle: Rounded Corners 78">
                      <a:extLst>
                        <a:ext uri="{FF2B5EF4-FFF2-40B4-BE49-F238E27FC236}">
                          <a16:creationId xmlns:a16="http://schemas.microsoft.com/office/drawing/2014/main" id="{38AEE0A0-13F3-D5EE-B0BF-364BC64A12FC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</xdr:grpSp>
          </xdr:grpSp>
          <xdr:graphicFrame macro="">
            <xdr:nvGraphicFramePr>
              <xdr:cNvPr id="48" name="Chart 47">
                <a:extLst>
                  <a:ext uri="{FF2B5EF4-FFF2-40B4-BE49-F238E27FC236}">
                    <a16:creationId xmlns:a16="http://schemas.microsoft.com/office/drawing/2014/main" id="{C2CDF78C-EA07-4D3A-A5C1-36458C811E0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7451912" y="493059"/>
              <a:ext cx="3316941" cy="143435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7367951D-39C1-B5FC-CD23-CC24C14AD67D}"/>
                </a:ext>
              </a:extLst>
            </xdr:cNvPr>
            <xdr:cNvGrpSpPr/>
          </xdr:nvGrpSpPr>
          <xdr:grpSpPr>
            <a:xfrm>
              <a:off x="11252950" y="56029"/>
              <a:ext cx="3576764" cy="2808195"/>
              <a:chOff x="11096068" y="56029"/>
              <a:chExt cx="3524470" cy="2808195"/>
            </a:xfrm>
          </xdr:grpSpPr>
          <xdr:grpSp>
            <xdr:nvGrpSpPr>
              <xdr:cNvPr id="86" name="Group 85">
                <a:extLst>
                  <a:ext uri="{FF2B5EF4-FFF2-40B4-BE49-F238E27FC236}">
                    <a16:creationId xmlns:a16="http://schemas.microsoft.com/office/drawing/2014/main" id="{D41BE30B-84BF-4F93-6D68-C22977186EAB}"/>
                  </a:ext>
                </a:extLst>
              </xdr:cNvPr>
              <xdr:cNvGrpSpPr/>
            </xdr:nvGrpSpPr>
            <xdr:grpSpPr>
              <a:xfrm>
                <a:off x="11096068" y="56029"/>
                <a:ext cx="3524470" cy="2808195"/>
                <a:chOff x="11096068" y="56029"/>
                <a:chExt cx="3524470" cy="2808195"/>
              </a:xfrm>
            </xdr:grpSpPr>
            <xdr:grpSp>
              <xdr:nvGrpSpPr>
                <xdr:cNvPr id="11" name="Group 10">
                  <a:extLst>
                    <a:ext uri="{FF2B5EF4-FFF2-40B4-BE49-F238E27FC236}">
                      <a16:creationId xmlns:a16="http://schemas.microsoft.com/office/drawing/2014/main" id="{4AB6EFA4-5769-C6E0-CED7-DC47E69263E0}"/>
                    </a:ext>
                  </a:extLst>
                </xdr:cNvPr>
                <xdr:cNvGrpSpPr/>
              </xdr:nvGrpSpPr>
              <xdr:grpSpPr>
                <a:xfrm>
                  <a:off x="11118477" y="56029"/>
                  <a:ext cx="3451410" cy="1905001"/>
                  <a:chOff x="2330824" y="551328"/>
                  <a:chExt cx="3451410" cy="1905001"/>
                </a:xfrm>
                <a:solidFill>
                  <a:schemeClr val="bg1"/>
                </a:solidFill>
              </xdr:grpSpPr>
              <xdr:grpSp>
                <xdr:nvGrpSpPr>
                  <xdr:cNvPr id="14" name="Group 13">
                    <a:extLst>
                      <a:ext uri="{FF2B5EF4-FFF2-40B4-BE49-F238E27FC236}">
                        <a16:creationId xmlns:a16="http://schemas.microsoft.com/office/drawing/2014/main" id="{4FB12048-7107-81E9-ACF2-EF79837F8CD5}"/>
                      </a:ext>
                    </a:extLst>
                  </xdr:cNvPr>
                  <xdr:cNvGrpSpPr/>
                </xdr:nvGrpSpPr>
                <xdr:grpSpPr>
                  <a:xfrm>
                    <a:off x="2330824" y="551328"/>
                    <a:ext cx="3451410" cy="1905001"/>
                    <a:chOff x="4021630" y="3007657"/>
                    <a:chExt cx="2788102" cy="1905001"/>
                  </a:xfrm>
                  <a:grpFill/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391B7B23-CC2B-2EFA-474A-F6F8B6ADAB60}"/>
                        </a:ext>
                      </a:extLst>
                    </xdr:cNvPr>
                    <xdr:cNvSpPr/>
                  </xdr:nvSpPr>
                  <xdr:spPr>
                    <a:xfrm>
                      <a:off x="4021630" y="3007657"/>
                      <a:ext cx="2774576" cy="1905001"/>
                    </a:xfrm>
                    <a:prstGeom prst="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42985309-F521-0576-0565-453D85738746}"/>
                        </a:ext>
                      </a:extLst>
                    </xdr:cNvPr>
                    <xdr:cNvSpPr/>
                  </xdr:nvSpPr>
                  <xdr:spPr>
                    <a:xfrm>
                      <a:off x="4075939" y="3059204"/>
                      <a:ext cx="2733793" cy="1840009"/>
                    </a:xfrm>
                    <a:prstGeom prst="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sp macro="" textlink="">
                <xdr:nvSpPr>
                  <xdr:cNvPr id="17" name="TextBox 16">
                    <a:extLst>
                      <a:ext uri="{FF2B5EF4-FFF2-40B4-BE49-F238E27FC236}">
                        <a16:creationId xmlns:a16="http://schemas.microsoft.com/office/drawing/2014/main" id="{AC124A6A-9BF9-D0B7-3F48-FF46D8A38606}"/>
                      </a:ext>
                    </a:extLst>
                  </xdr:cNvPr>
                  <xdr:cNvSpPr txBox="1"/>
                </xdr:nvSpPr>
                <xdr:spPr>
                  <a:xfrm>
                    <a:off x="2398059" y="616324"/>
                    <a:ext cx="3372971" cy="302558"/>
                  </a:xfrm>
                  <a:prstGeom prst="rect">
                    <a:avLst/>
                  </a:prstGeom>
                  <a:grpFill/>
                  <a:ln w="9525" cmpd="sng">
                    <a:solidFill>
                      <a:schemeClr val="bg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lang="en-IN" sz="2000" b="1"/>
                      <a:t>RENEWAL</a:t>
                    </a:r>
                  </a:p>
                </xdr:txBody>
              </xdr:sp>
            </xdr:grpSp>
            <xdr:grpSp>
              <xdr:nvGrpSpPr>
                <xdr:cNvPr id="82" name="Group 81">
                  <a:extLst>
                    <a:ext uri="{FF2B5EF4-FFF2-40B4-BE49-F238E27FC236}">
                      <a16:creationId xmlns:a16="http://schemas.microsoft.com/office/drawing/2014/main" id="{6710519A-E980-1871-68C1-8DE9D556F972}"/>
                    </a:ext>
                  </a:extLst>
                </xdr:cNvPr>
                <xdr:cNvGrpSpPr/>
              </xdr:nvGrpSpPr>
              <xdr:grpSpPr>
                <a:xfrm>
                  <a:off x="11096068" y="2014816"/>
                  <a:ext cx="3524470" cy="849408"/>
                  <a:chOff x="11096068" y="2014816"/>
                  <a:chExt cx="3524470" cy="849408"/>
                </a:xfrm>
              </xdr:grpSpPr>
              <xdr:grpSp>
                <xdr:nvGrpSpPr>
                  <xdr:cNvPr id="68" name="Group 67">
                    <a:extLst>
                      <a:ext uri="{FF2B5EF4-FFF2-40B4-BE49-F238E27FC236}">
                        <a16:creationId xmlns:a16="http://schemas.microsoft.com/office/drawing/2014/main" id="{033390F7-996C-E3E3-7CCB-29E08D0DD8AC}"/>
                      </a:ext>
                    </a:extLst>
                  </xdr:cNvPr>
                  <xdr:cNvGrpSpPr/>
                </xdr:nvGrpSpPr>
                <xdr:grpSpPr>
                  <a:xfrm>
                    <a:off x="11096068" y="2019299"/>
                    <a:ext cx="1714497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69" name="Rectangle: Rounded Corners 68">
                      <a:extLst>
                        <a:ext uri="{FF2B5EF4-FFF2-40B4-BE49-F238E27FC236}">
                          <a16:creationId xmlns:a16="http://schemas.microsoft.com/office/drawing/2014/main" id="{0B3B8529-F963-6E42-4AF6-F0A1DEC3F689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70" name="Rectangle: Rounded Corners 69">
                      <a:extLst>
                        <a:ext uri="{FF2B5EF4-FFF2-40B4-BE49-F238E27FC236}">
                          <a16:creationId xmlns:a16="http://schemas.microsoft.com/office/drawing/2014/main" id="{11D9C7FB-3174-910B-D771-F7725D906287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  <xdr:grpSp>
                <xdr:nvGrpSpPr>
                  <xdr:cNvPr id="71" name="Group 70">
                    <a:extLst>
                      <a:ext uri="{FF2B5EF4-FFF2-40B4-BE49-F238E27FC236}">
                        <a16:creationId xmlns:a16="http://schemas.microsoft.com/office/drawing/2014/main" id="{5F953B06-A7CC-A613-E7B4-87DD3215447D}"/>
                      </a:ext>
                    </a:extLst>
                  </xdr:cNvPr>
                  <xdr:cNvGrpSpPr/>
                </xdr:nvGrpSpPr>
                <xdr:grpSpPr>
                  <a:xfrm>
                    <a:off x="12906938" y="2014816"/>
                    <a:ext cx="1713600" cy="844925"/>
                    <a:chOff x="6770596" y="2422711"/>
                    <a:chExt cx="1786215" cy="844925"/>
                  </a:xfrm>
                </xdr:grpSpPr>
                <xdr:sp macro="" textlink="">
                  <xdr:nvSpPr>
                    <xdr:cNvPr id="72" name="Rectangle: Rounded Corners 71">
                      <a:extLst>
                        <a:ext uri="{FF2B5EF4-FFF2-40B4-BE49-F238E27FC236}">
                          <a16:creationId xmlns:a16="http://schemas.microsoft.com/office/drawing/2014/main" id="{D25DB85C-42BE-8A19-CC81-FB9CE2B917AD}"/>
                        </a:ext>
                      </a:extLst>
                    </xdr:cNvPr>
                    <xdr:cNvSpPr/>
                  </xdr:nvSpPr>
                  <xdr:spPr>
                    <a:xfrm>
                      <a:off x="6770596" y="2422711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tx2">
                        <a:lumMod val="50000"/>
                        <a:lumOff val="5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  <xdr:sp macro="" textlink="">
                  <xdr:nvSpPr>
                    <xdr:cNvPr id="73" name="Rectangle: Rounded Corners 72">
                      <a:extLst>
                        <a:ext uri="{FF2B5EF4-FFF2-40B4-BE49-F238E27FC236}">
                          <a16:creationId xmlns:a16="http://schemas.microsoft.com/office/drawing/2014/main" id="{23DE3D51-D30D-F126-9395-0E5EE863FEAD}"/>
                        </a:ext>
                      </a:extLst>
                    </xdr:cNvPr>
                    <xdr:cNvSpPr/>
                  </xdr:nvSpPr>
                  <xdr:spPr>
                    <a:xfrm>
                      <a:off x="6831107" y="2472018"/>
                      <a:ext cx="1725704" cy="795618"/>
                    </a:xfrm>
                    <a:prstGeom prst="roundRect">
                      <a:avLst/>
                    </a:prstGeom>
                    <a:solidFill>
                      <a:schemeClr val="bg1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100"/>
                    </a:p>
                  </xdr:txBody>
                </xdr:sp>
              </xdr:grpSp>
            </xdr:grpSp>
          </xdr:grpSp>
          <xdr:graphicFrame macro="">
            <xdr:nvGraphicFramePr>
              <xdr:cNvPr id="49" name="Chart 48">
                <a:extLst>
                  <a:ext uri="{FF2B5EF4-FFF2-40B4-BE49-F238E27FC236}">
                    <a16:creationId xmlns:a16="http://schemas.microsoft.com/office/drawing/2014/main" id="{4E54382D-E1C2-47B8-BC51-12C65C253AB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1194677" y="448234"/>
              <a:ext cx="3339351" cy="146797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</xdr:grp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007E9A4-B386-AD8E-59D6-4C602620583F}"/>
                </a:ext>
              </a:extLst>
            </xdr:cNvPr>
            <xdr:cNvSpPr txBox="1"/>
          </xdr:nvSpPr>
          <xdr:spPr>
            <a:xfrm>
              <a:off x="3693583" y="2095501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Placed Acheivement</a:t>
              </a: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91A2FAC8-7F6C-E169-B67F-21D592CF31C2}"/>
                </a:ext>
              </a:extLst>
            </xdr:cNvPr>
            <xdr:cNvSpPr txBox="1"/>
          </xdr:nvSpPr>
          <xdr:spPr>
            <a:xfrm>
              <a:off x="13169899" y="2089152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Invoice</a:t>
              </a:r>
              <a:r>
                <a:rPr lang="en-IN" sz="1200" b="1" baseline="0">
                  <a:solidFill>
                    <a:schemeClr val="tx1"/>
                  </a:solidFill>
                </a:rPr>
                <a:t> </a:t>
              </a:r>
              <a:r>
                <a:rPr lang="en-IN" sz="1200" b="1">
                  <a:solidFill>
                    <a:schemeClr val="tx1"/>
                  </a:solidFill>
                </a:rPr>
                <a:t>Acheivement</a:t>
              </a: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C51E71C-8EEE-7DFB-FAE5-4448E0A48940}"/>
                </a:ext>
              </a:extLst>
            </xdr:cNvPr>
            <xdr:cNvSpPr txBox="1"/>
          </xdr:nvSpPr>
          <xdr:spPr>
            <a:xfrm>
              <a:off x="11322050" y="2072217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Placed Acheivement</a:t>
              </a:r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CA79E2C-3048-8D2C-56BA-74815D719A97}"/>
                </a:ext>
              </a:extLst>
            </xdr:cNvPr>
            <xdr:cNvSpPr txBox="1"/>
          </xdr:nvSpPr>
          <xdr:spPr>
            <a:xfrm>
              <a:off x="9357783" y="2087034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Invoice Acheivement</a:t>
              </a:r>
            </a:p>
          </xdr:txBody>
        </xdr: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DDAB64FD-05E4-7121-EBED-45E281C736F7}"/>
                </a:ext>
              </a:extLst>
            </xdr:cNvPr>
            <xdr:cNvSpPr txBox="1"/>
          </xdr:nvSpPr>
          <xdr:spPr>
            <a:xfrm>
              <a:off x="7520516" y="2080684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Placed Acheivement</a:t>
              </a:r>
            </a:p>
          </xdr:txBody>
        </xdr: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ADD7659-4998-1E4B-334C-2D06FCE0B7C5}"/>
                </a:ext>
              </a:extLst>
            </xdr:cNvPr>
            <xdr:cNvSpPr txBox="1"/>
          </xdr:nvSpPr>
          <xdr:spPr>
            <a:xfrm>
              <a:off x="5535083" y="2095501"/>
              <a:ext cx="1640417" cy="33866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200" b="1">
                  <a:solidFill>
                    <a:schemeClr val="tx1"/>
                  </a:solidFill>
                </a:rPr>
                <a:t>Invoice</a:t>
              </a:r>
              <a:r>
                <a:rPr lang="en-IN" sz="1200" b="1" baseline="0">
                  <a:solidFill>
                    <a:schemeClr val="tx1"/>
                  </a:solidFill>
                </a:rPr>
                <a:t> </a:t>
              </a:r>
              <a:r>
                <a:rPr lang="en-IN" sz="1200" b="1">
                  <a:solidFill>
                    <a:schemeClr val="tx1"/>
                  </a:solidFill>
                </a:rPr>
                <a:t>Acheivement</a:t>
              </a:r>
            </a:p>
          </xdr:txBody>
        </xdr:sp>
        <xdr:sp macro="" textlink="Calculation!J3">
          <xdr:nvSpPr>
            <xdr:cNvPr id="64" name="TextBox 63">
              <a:extLst>
                <a:ext uri="{FF2B5EF4-FFF2-40B4-BE49-F238E27FC236}">
                  <a16:creationId xmlns:a16="http://schemas.microsoft.com/office/drawing/2014/main" id="{B7B17529-4B4A-C4C1-5EA6-439911BC4248}"/>
                </a:ext>
              </a:extLst>
            </xdr:cNvPr>
            <xdr:cNvSpPr txBox="1"/>
          </xdr:nvSpPr>
          <xdr:spPr>
            <a:xfrm>
              <a:off x="3697816" y="2422959"/>
              <a:ext cx="1640417" cy="438775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069C173D-9A1C-44F9-8703-AED69907EACD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130.41</a:t>
              </a:fld>
              <a:endParaRPr lang="en-IN" sz="2800" b="1" i="0" u="none" strike="noStrike">
                <a:solidFill>
                  <a:schemeClr val="accent1">
                    <a:lumMod val="50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alculation!K7">
          <xdr:nvSpPr>
            <xdr:cNvPr id="65" name="TextBox 64">
              <a:extLst>
                <a:ext uri="{FF2B5EF4-FFF2-40B4-BE49-F238E27FC236}">
                  <a16:creationId xmlns:a16="http://schemas.microsoft.com/office/drawing/2014/main" id="{7F1D7E76-E29D-731A-E969-F87434B7A9FB}"/>
                </a:ext>
              </a:extLst>
            </xdr:cNvPr>
            <xdr:cNvSpPr txBox="1"/>
          </xdr:nvSpPr>
          <xdr:spPr>
            <a:xfrm>
              <a:off x="13174133" y="2382804"/>
              <a:ext cx="1640417" cy="391516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D7259A6-0D7B-472C-A625-2246F23CFEEB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</a:rPr>
                <a:pPr algn="ctr"/>
                <a:t>86.60%</a:t>
              </a:fld>
              <a:endParaRPr lang="en-IN" sz="2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  <xdr:sp macro="" textlink="Calculation!J7">
          <xdr:nvSpPr>
            <xdr:cNvPr id="66" name="TextBox 65">
              <a:extLst>
                <a:ext uri="{FF2B5EF4-FFF2-40B4-BE49-F238E27FC236}">
                  <a16:creationId xmlns:a16="http://schemas.microsoft.com/office/drawing/2014/main" id="{B3EC0381-0D20-3C81-7887-A3EB3439BBD6}"/>
                </a:ext>
              </a:extLst>
            </xdr:cNvPr>
            <xdr:cNvSpPr txBox="1"/>
          </xdr:nvSpPr>
          <xdr:spPr>
            <a:xfrm>
              <a:off x="11358032" y="2338916"/>
              <a:ext cx="1566127" cy="502880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9577989C-22CE-4C29-8C45-2AE79F898FE3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185.07</a:t>
              </a:fld>
              <a:endParaRPr lang="en-IN" sz="2800" b="1" i="0" u="none" strike="noStrike">
                <a:solidFill>
                  <a:schemeClr val="accent1">
                    <a:lumMod val="50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alculation!K5">
          <xdr:nvSpPr>
            <xdr:cNvPr id="67" name="TextBox 66">
              <a:extLst>
                <a:ext uri="{FF2B5EF4-FFF2-40B4-BE49-F238E27FC236}">
                  <a16:creationId xmlns:a16="http://schemas.microsoft.com/office/drawing/2014/main" id="{F6A0CFA6-6B18-E6FC-3329-01E5801DD3E0}"/>
                </a:ext>
              </a:extLst>
            </xdr:cNvPr>
            <xdr:cNvSpPr txBox="1"/>
          </xdr:nvSpPr>
          <xdr:spPr>
            <a:xfrm>
              <a:off x="9362015" y="2402882"/>
              <a:ext cx="1640417" cy="381478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A7294F8-CC05-4659-B84A-BA9BE80E95B0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</a:rPr>
                <a:pPr algn="ctr"/>
                <a:t>13.90%</a:t>
              </a:fld>
              <a:endParaRPr lang="en-IN" sz="2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  <xdr:sp macro="" textlink="Calculation!J5">
          <xdr:nvSpPr>
            <xdr:cNvPr id="85" name="TextBox 84">
              <a:extLst>
                <a:ext uri="{FF2B5EF4-FFF2-40B4-BE49-F238E27FC236}">
                  <a16:creationId xmlns:a16="http://schemas.microsoft.com/office/drawing/2014/main" id="{D48C61E6-11AC-792C-E1DE-26B73255CF93}"/>
                </a:ext>
              </a:extLst>
            </xdr:cNvPr>
            <xdr:cNvSpPr txBox="1"/>
          </xdr:nvSpPr>
          <xdr:spPr>
            <a:xfrm>
              <a:off x="7601752" y="2358447"/>
              <a:ext cx="1460012" cy="425911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5A00A62D-75C7-4F09-8957-4037622A3FD4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35.32</a:t>
              </a:fld>
              <a:endParaRPr lang="en-IN" sz="2800" b="1" i="0" u="none" strike="noStrike">
                <a:solidFill>
                  <a:schemeClr val="accent1">
                    <a:lumMod val="50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alculation!K3">
          <xdr:nvSpPr>
            <xdr:cNvPr id="93" name="TextBox 92">
              <a:extLst>
                <a:ext uri="{FF2B5EF4-FFF2-40B4-BE49-F238E27FC236}">
                  <a16:creationId xmlns:a16="http://schemas.microsoft.com/office/drawing/2014/main" id="{04C8BE5B-AACC-61AF-CF89-9EF58E0EDAD3}"/>
                </a:ext>
              </a:extLst>
            </xdr:cNvPr>
            <xdr:cNvSpPr txBox="1"/>
          </xdr:nvSpPr>
          <xdr:spPr>
            <a:xfrm>
              <a:off x="5667062" y="2388563"/>
              <a:ext cx="1420983" cy="456028"/>
            </a:xfrm>
            <a:prstGeom prst="roundRect">
              <a:avLst>
                <a:gd name="adj" fmla="val 41667"/>
              </a:avLst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63BFD54-C5B1-484E-8C51-4FF71FB23091}" type="TxLink">
                <a:rPr lang="en-US" sz="2800" b="1" i="0" u="none" strike="noStrike">
                  <a:solidFill>
                    <a:schemeClr val="accent1">
                      <a:lumMod val="50000"/>
                    </a:schemeClr>
                  </a:solidFill>
                  <a:latin typeface="Aptos Narrow"/>
                </a:rPr>
                <a:pPr algn="ctr"/>
                <a:t>39.15%</a:t>
              </a:fld>
              <a:endParaRPr lang="en-IN" sz="2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%20Drive\Desktop\Shivam%20Folder\First%20project\Opportunity.xlsx" TargetMode="External"/><Relationship Id="rId1" Type="http://schemas.openxmlformats.org/officeDocument/2006/relationships/externalLinkPath" Target="Opportun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%20Drive\Desktop\Shivam%20Folder\First%20project\Meeting.xlsx" TargetMode="External"/><Relationship Id="rId1" Type="http://schemas.openxmlformats.org/officeDocument/2006/relationships/externalLinkPath" Target="Meet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%20Drive\Desktop\Shivam%20Folder\First%20project\Invoice-2.xlsx" TargetMode="External"/><Relationship Id="rId1" Type="http://schemas.openxmlformats.org/officeDocument/2006/relationships/externalLinkPath" Target="Invoice-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%20Drive\Desktop\Shivam%20Folder\First%20project\invoice%20-%20working%20file.xlsx" TargetMode="External"/><Relationship Id="rId1" Type="http://schemas.openxmlformats.org/officeDocument/2006/relationships/externalLinkPath" Target="invoice%20-%20working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gcrm_opportunity_202001231041"/>
    </sheetNames>
    <sheetDataSet>
      <sheetData sheetId="0">
        <row r="22">
          <cell r="N22" t="str">
            <v>CP-PDBI</v>
          </cell>
          <cell r="O22">
            <v>2</v>
          </cell>
        </row>
        <row r="23">
          <cell r="N23" t="str">
            <v>OP-GMC</v>
          </cell>
          <cell r="O23">
            <v>2.5</v>
          </cell>
        </row>
        <row r="24">
          <cell r="N24" t="str">
            <v>DS- Employees GMC</v>
          </cell>
          <cell r="O24">
            <v>3</v>
          </cell>
        </row>
        <row r="25">
          <cell r="N25" t="str">
            <v>BE-Mega policy</v>
          </cell>
          <cell r="O25">
            <v>3</v>
          </cell>
        </row>
        <row r="26">
          <cell r="N26" t="str">
            <v>FM-Group Mediclaim</v>
          </cell>
          <cell r="O26">
            <v>3</v>
          </cell>
        </row>
        <row r="27">
          <cell r="N27" t="str">
            <v>DB -Terrorism Policy</v>
          </cell>
          <cell r="O27">
            <v>3</v>
          </cell>
        </row>
        <row r="28">
          <cell r="N28" t="str">
            <v>CVP GMC</v>
          </cell>
          <cell r="O28">
            <v>3.5</v>
          </cell>
        </row>
        <row r="29">
          <cell r="N29" t="str">
            <v>EL-Group Mediclaim</v>
          </cell>
          <cell r="O29">
            <v>4</v>
          </cell>
        </row>
        <row r="30">
          <cell r="N30" t="str">
            <v>DB -Mega Policy</v>
          </cell>
          <cell r="O30">
            <v>4</v>
          </cell>
        </row>
        <row r="31">
          <cell r="N31" t="str">
            <v>Fire</v>
          </cell>
          <cell r="O31">
            <v>5</v>
          </cell>
        </row>
      </sheetData>
      <sheetData sheetId="1">
        <row r="9">
          <cell r="A9" t="str">
            <v>Qualify Opportunity</v>
          </cell>
          <cell r="B9">
            <v>59.195</v>
          </cell>
        </row>
        <row r="10">
          <cell r="A10" t="str">
            <v>Negotiate</v>
          </cell>
          <cell r="B10">
            <v>8.99</v>
          </cell>
        </row>
        <row r="11">
          <cell r="A11" t="str">
            <v>Propose Solution</v>
          </cell>
          <cell r="B11">
            <v>0.6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eeting_list_202001231041"/>
    </sheetNames>
    <sheetDataSet>
      <sheetData sheetId="0">
        <row r="15">
          <cell r="B15" t="str">
            <v>Meeting Done</v>
          </cell>
        </row>
        <row r="16">
          <cell r="A16" t="str">
            <v>Mark</v>
          </cell>
          <cell r="B16">
            <v>2</v>
          </cell>
        </row>
        <row r="17">
          <cell r="A17" t="str">
            <v>Raju Kumar</v>
          </cell>
          <cell r="B17">
            <v>2</v>
          </cell>
        </row>
        <row r="18">
          <cell r="A18" t="str">
            <v>Juli</v>
          </cell>
          <cell r="B18">
            <v>3</v>
          </cell>
        </row>
        <row r="19">
          <cell r="A19" t="str">
            <v>Manish Sharma</v>
          </cell>
          <cell r="B19">
            <v>3</v>
          </cell>
        </row>
        <row r="20">
          <cell r="A20" t="str">
            <v>Animesh Rawat</v>
          </cell>
          <cell r="B20">
            <v>4</v>
          </cell>
        </row>
        <row r="21">
          <cell r="A21" t="str">
            <v>Ketan Jain</v>
          </cell>
          <cell r="B21">
            <v>4</v>
          </cell>
        </row>
        <row r="22">
          <cell r="A22" t="str">
            <v>Shivani Sharma</v>
          </cell>
          <cell r="B22">
            <v>4</v>
          </cell>
        </row>
        <row r="23">
          <cell r="A23" t="str">
            <v>Vinay</v>
          </cell>
          <cell r="B23">
            <v>5</v>
          </cell>
        </row>
        <row r="24">
          <cell r="A24" t="str">
            <v>Abhinav Shivam</v>
          </cell>
          <cell r="B24">
            <v>7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voice_202001231041"/>
    </sheetNames>
    <sheetDataSet>
      <sheetData sheetId="0">
        <row r="15">
          <cell r="B15" t="str">
            <v>Cross Sell</v>
          </cell>
          <cell r="C15" t="str">
            <v>New</v>
          </cell>
          <cell r="D15" t="str">
            <v>Renewal</v>
          </cell>
          <cell r="E15" t="str">
            <v>Null</v>
          </cell>
          <cell r="F15" t="str">
            <v>Grand Total</v>
          </cell>
        </row>
        <row r="16">
          <cell r="A16" t="str">
            <v>Ankita Shah</v>
          </cell>
          <cell r="B16">
            <v>0</v>
          </cell>
          <cell r="C16">
            <v>1</v>
          </cell>
          <cell r="D16">
            <v>0</v>
          </cell>
          <cell r="E16">
            <v>0</v>
          </cell>
          <cell r="F16">
            <v>1</v>
          </cell>
        </row>
        <row r="17">
          <cell r="A17" t="str">
            <v>Divya Dhingra</v>
          </cell>
          <cell r="B17">
            <v>0</v>
          </cell>
          <cell r="C17">
            <v>0</v>
          </cell>
          <cell r="D17">
            <v>3</v>
          </cell>
          <cell r="E17">
            <v>1</v>
          </cell>
          <cell r="F17">
            <v>4</v>
          </cell>
        </row>
        <row r="18">
          <cell r="A18" t="str">
            <v>Gautam Murkunde</v>
          </cell>
          <cell r="B18">
            <v>10</v>
          </cell>
          <cell r="C18">
            <v>0</v>
          </cell>
          <cell r="D18">
            <v>0</v>
          </cell>
          <cell r="E18">
            <v>0</v>
          </cell>
          <cell r="F18">
            <v>10</v>
          </cell>
        </row>
        <row r="19">
          <cell r="A19" t="str">
            <v>Neel Jain</v>
          </cell>
          <cell r="B19">
            <v>2</v>
          </cell>
          <cell r="C19">
            <v>8</v>
          </cell>
          <cell r="D19">
            <v>0</v>
          </cell>
          <cell r="E19">
            <v>4</v>
          </cell>
          <cell r="F19">
            <v>14</v>
          </cell>
        </row>
        <row r="20">
          <cell r="A20" t="str">
            <v>Nishant Sharma</v>
          </cell>
          <cell r="B20">
            <v>12</v>
          </cell>
          <cell r="C20">
            <v>0</v>
          </cell>
          <cell r="D20">
            <v>15</v>
          </cell>
          <cell r="E20">
            <v>0</v>
          </cell>
          <cell r="F20">
            <v>27</v>
          </cell>
        </row>
        <row r="21">
          <cell r="A21" t="str">
            <v>Shloka Shelat</v>
          </cell>
          <cell r="B21">
            <v>20</v>
          </cell>
          <cell r="C21">
            <v>7</v>
          </cell>
          <cell r="D21">
            <v>3</v>
          </cell>
          <cell r="E21">
            <v>0</v>
          </cell>
          <cell r="F21">
            <v>30</v>
          </cell>
        </row>
        <row r="22">
          <cell r="A22" t="str">
            <v>Shobhit Agarwal</v>
          </cell>
          <cell r="B22">
            <v>0</v>
          </cell>
          <cell r="C22">
            <v>0</v>
          </cell>
          <cell r="D22">
            <v>18</v>
          </cell>
          <cell r="E22">
            <v>18</v>
          </cell>
          <cell r="F22">
            <v>36</v>
          </cell>
        </row>
        <row r="23">
          <cell r="A23" t="str">
            <v>Vidit Shah</v>
          </cell>
          <cell r="B23">
            <v>19</v>
          </cell>
          <cell r="C23">
            <v>0</v>
          </cell>
          <cell r="D23">
            <v>58</v>
          </cell>
          <cell r="E23">
            <v>5</v>
          </cell>
          <cell r="F23">
            <v>82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invoice_202001231041"/>
    </sheetNames>
    <sheetDataSet>
      <sheetData sheetId="0">
        <row r="3">
          <cell r="G3" t="str">
            <v>Invoice</v>
          </cell>
          <cell r="H3" t="str">
            <v>Target</v>
          </cell>
          <cell r="I3" t="str">
            <v>Acheivement</v>
          </cell>
        </row>
        <row r="4">
          <cell r="F4" t="str">
            <v>Cross Sell</v>
          </cell>
          <cell r="G4">
            <v>28.538419999999999</v>
          </cell>
          <cell r="H4">
            <v>72.900000000000006</v>
          </cell>
          <cell r="I4">
            <v>130.412533</v>
          </cell>
        </row>
        <row r="5">
          <cell r="G5" t="str">
            <v>Invoice</v>
          </cell>
          <cell r="H5" t="str">
            <v>Target</v>
          </cell>
          <cell r="I5" t="str">
            <v>Acheivement</v>
          </cell>
        </row>
        <row r="6">
          <cell r="F6" t="str">
            <v>New</v>
          </cell>
          <cell r="G6">
            <v>5.69815</v>
          </cell>
          <cell r="H6">
            <v>41</v>
          </cell>
          <cell r="I6">
            <v>35.316293099999989</v>
          </cell>
        </row>
        <row r="7">
          <cell r="G7" t="str">
            <v>Invoice</v>
          </cell>
          <cell r="H7" t="str">
            <v>Target</v>
          </cell>
          <cell r="I7" t="str">
            <v>Acheivement</v>
          </cell>
        </row>
        <row r="8">
          <cell r="F8" t="str">
            <v>Renewal</v>
          </cell>
          <cell r="G8">
            <v>82.443100000000001</v>
          </cell>
          <cell r="H8">
            <v>95.2</v>
          </cell>
          <cell r="I8">
            <v>185.07270640000016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82.905986226855" createdVersion="8" refreshedVersion="8" minRefreshableVersion="3" recordCount="34" xr:uid="{C23CBFC6-A0DB-4B04-B3EB-89783C2AC7B7}">
  <cacheSource type="worksheet">
    <worksheetSource name="meeting_list_202001231041"/>
  </cacheSource>
  <cacheFields count="5">
    <cacheField name="Account Executive" numFmtId="0">
      <sharedItems/>
    </cacheField>
    <cacheField name="meeting_date" numFmtId="14">
      <sharedItems containsSemiMixedTypes="0" containsNonDate="0" containsDate="1" containsString="0" minDate="2019-10-17T00:00:00" maxDate="2020-01-23T00:00:00" count="13">
        <d v="2019-10-17T00:00:00"/>
        <d v="2019-12-24T00:00:00"/>
        <d v="2020-01-03T00:00:00"/>
        <d v="2020-01-08T00:00:00"/>
        <d v="2020-01-09T00:00:00"/>
        <d v="2020-01-02T00:00:00"/>
        <d v="2020-01-06T00:00:00"/>
        <d v="2020-01-07T00:00:00"/>
        <d v="2020-01-13T00:00:00"/>
        <d v="2020-01-10T00:00:00"/>
        <d v="2020-01-20T00:00:00"/>
        <d v="2020-01-21T00:00:00"/>
        <d v="2020-01-22T00:00:00"/>
      </sharedItems>
      <fieldGroup par="4"/>
    </cacheField>
    <cacheField name="Months (meeting_date)" numFmtId="0" databaseField="0">
      <fieldGroup base="1">
        <rangePr groupBy="months" startDate="2019-10-17T00:00:00" endDate="2020-01-23T00:00:00"/>
        <groupItems count="14">
          <s v="&lt;17-10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1-2020"/>
        </groupItems>
      </fieldGroup>
    </cacheField>
    <cacheField name="Quarters (meeting_date)" numFmtId="0" databaseField="0">
      <fieldGroup base="1">
        <rangePr groupBy="quarters" startDate="2019-10-17T00:00:00" endDate="2020-01-23T00:00:00"/>
        <groupItems count="6">
          <s v="&lt;17-10-2019"/>
          <s v="Qtr1"/>
          <s v="Qtr2"/>
          <s v="Qtr3"/>
          <s v="Qtr4"/>
          <s v="&gt;23-01-2020"/>
        </groupItems>
      </fieldGroup>
    </cacheField>
    <cacheField name="Years (meeting_date)" numFmtId="0" databaseField="0">
      <fieldGroup base="1">
        <rangePr groupBy="years" startDate="2019-10-17T00:00:00" endDate="2020-01-23T00:00:00"/>
        <groupItems count="4">
          <s v="&lt;17-10-2019"/>
          <s v="2019"/>
          <s v="2020"/>
          <s v="&gt;23-01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83.511453240739" backgroundQuery="1" createdVersion="8" refreshedVersion="8" minRefreshableVersion="3" recordCount="0" supportSubquery="1" supportAdvancedDrill="1" xr:uid="{5AE16D4D-9265-4BD7-B694-2C5EC2764F39}">
  <cacheSource type="external" connectionId="3"/>
  <cacheFields count="1">
    <cacheField name="[Measures].[Count of opportunity_id]" caption="Count of opportunity_id" numFmtId="0" hierarchy="17" level="32767"/>
  </cacheFields>
  <cacheHierarchies count="18"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gcrm_opportunity_20200123104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gcrm_opportunity_202001231041" uniqueName="[gcrm_opportunity_202001231041]" caption="gcrm_opportunity_202001231041"/>
    <dimension measure="1" name="Measures" uniqueName="[Measures]" caption="Measures"/>
    <dimension name="meeting_list_202001231041" uniqueName="[meeting_list_202001231041]" caption="meeting_list_202001231041"/>
  </dimensions>
  <measureGroups count="2">
    <measureGroup name="gcrm_opportunity_202001231041" caption="gcrm_opportunity_202001231041"/>
    <measureGroup name="meeting_list_202001231041" caption="meeting_list_20200123104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83.529864004631" backgroundQuery="1" createdVersion="8" refreshedVersion="8" minRefreshableVersion="3" recordCount="0" supportSubquery="1" supportAdvancedDrill="1" xr:uid="{8D819BA4-E0A7-4EB5-83F9-78DF79D84680}">
  <cacheSource type="external" connectionId="3"/>
  <cacheFields count="2">
    <cacheField name="[Measures].[Count of opportunity_id]" caption="Count of opportunity_id" numFmtId="0" hierarchy="17" level="32767"/>
    <cacheField name="[gcrm_opportunity_202001231041].[stage].[stage]" caption="stage" numFmtId="0" hierarchy="6" level="1">
      <sharedItems count="2">
        <s v="Propose Solution"/>
        <s v="Qualify Opportunity"/>
      </sharedItems>
    </cacheField>
  </cacheFields>
  <cacheHierarchies count="18"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1"/>
      </fieldsUsage>
    </cacheHierarchy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Count of opportunity_id]" caption="Count of opportunity_id" measure="1" displayFolder="" measureGroup="gcrm_opportunity_20200123104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gcrm_opportunity_202001231041" uniqueName="[gcrm_opportunity_202001231041]" caption="gcrm_opportunity_202001231041"/>
    <dimension measure="1" name="Measures" uniqueName="[Measures]" caption="Measures"/>
    <dimension name="meeting_list_202001231041" uniqueName="[meeting_list_202001231041]" caption="meeting_list_202001231041"/>
  </dimensions>
  <measureGroups count="2">
    <measureGroup name="gcrm_opportunity_202001231041" caption="gcrm_opportunity_202001231041"/>
    <measureGroup name="meeting_list_202001231041" caption="meeting_list_20200123104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Abhinav Shivam"/>
    <x v="0"/>
  </r>
  <r>
    <s v="Abhinav Shivam"/>
    <x v="0"/>
  </r>
  <r>
    <s v="Abhinav Shivam"/>
    <x v="1"/>
  </r>
  <r>
    <s v="Abhinav Shivam"/>
    <x v="2"/>
  </r>
  <r>
    <s v="Abhinav Shivam"/>
    <x v="3"/>
  </r>
  <r>
    <s v="Abhinav Shivam"/>
    <x v="3"/>
  </r>
  <r>
    <s v="Abhinav Shivam"/>
    <x v="4"/>
  </r>
  <r>
    <s v="Vinay"/>
    <x v="5"/>
  </r>
  <r>
    <s v="Vinay"/>
    <x v="2"/>
  </r>
  <r>
    <s v="Vinay"/>
    <x v="6"/>
  </r>
  <r>
    <s v="Vinay"/>
    <x v="7"/>
  </r>
  <r>
    <s v="Vinay"/>
    <x v="3"/>
  </r>
  <r>
    <s v="Animesh Rawat"/>
    <x v="8"/>
  </r>
  <r>
    <s v="Animesh Rawat"/>
    <x v="8"/>
  </r>
  <r>
    <s v="Animesh Rawat"/>
    <x v="4"/>
  </r>
  <r>
    <s v="Animesh Rawat"/>
    <x v="9"/>
  </r>
  <r>
    <s v="Ketan Jain"/>
    <x v="2"/>
  </r>
  <r>
    <s v="Ketan Jain"/>
    <x v="3"/>
  </r>
  <r>
    <s v="Ketan Jain"/>
    <x v="8"/>
  </r>
  <r>
    <s v="Ketan Jain"/>
    <x v="4"/>
  </r>
  <r>
    <s v="Juli"/>
    <x v="6"/>
  </r>
  <r>
    <s v="Juli"/>
    <x v="10"/>
  </r>
  <r>
    <s v="Juli"/>
    <x v="10"/>
  </r>
  <r>
    <s v="Shivani Sharma"/>
    <x v="11"/>
  </r>
  <r>
    <s v="Shivani Sharma"/>
    <x v="11"/>
  </r>
  <r>
    <s v="Shivani Sharma"/>
    <x v="11"/>
  </r>
  <r>
    <s v="Shivani Sharma"/>
    <x v="12"/>
  </r>
  <r>
    <s v="Manish Sharma"/>
    <x v="8"/>
  </r>
  <r>
    <s v="Manish Sharma"/>
    <x v="4"/>
  </r>
  <r>
    <s v="Manish Sharma"/>
    <x v="11"/>
  </r>
  <r>
    <s v="Raju Kumar"/>
    <x v="12"/>
  </r>
  <r>
    <s v="Raju Kumar"/>
    <x v="10"/>
  </r>
  <r>
    <s v="Mark"/>
    <x v="12"/>
  </r>
  <r>
    <s v="Mark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475E3-DF06-4B54-B21B-49E698C91ACB}" name="PivotTable7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C3:D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opportunity_id" fld="0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eting_list_202001231041]"/>
        <x15:activeTabTopLevelEntity name="[gcrm_opportunity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28388-7656-485A-A69F-9D618DB99DC3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pportunity_id" fld="0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eting_list_202001231041]"/>
        <x15:activeTabTopLevelEntity name="[gcrm_opportunity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AB93A-309C-487E-822A-1028E149C12B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6:H23" firstHeaderRow="1" firstDataRow="1" firstDataCol="0"/>
  <pivotFields count="5">
    <pivotField showAll="0"/>
    <pivotField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2499C-4A0E-4958-A7EC-30ED8EDF5CCD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6:D9" firstHeaderRow="1" firstDataRow="3" firstDataCol="1"/>
  <pivotFields count="5">
    <pivotField dataField="1" showAll="0"/>
    <pivotField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Fields count="2">
    <field x="4"/>
    <field x="2"/>
  </colFields>
  <colItems count="2">
    <i>
      <x v="1"/>
    </i>
    <i>
      <x v="2"/>
    </i>
  </colItems>
  <dataFields count="1">
    <dataField name="Count of Account Executiv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789D7F2-4C0F-43B3-9002-E9E17D804231}" autoFormatId="16" applyNumberFormats="0" applyBorderFormats="0" applyFontFormats="0" applyPatternFormats="0" applyAlignmentFormats="0" applyWidthHeightFormats="0">
  <queryTableRefresh nextId="3">
    <queryTableFields count="2">
      <queryTableField id="1" name="Account Executive" tableColumnId="1"/>
      <queryTableField id="2" name="meeting_dat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E7B68E-95B2-4665-93EE-BEAD9082A5BB}" autoFormatId="16" applyNumberFormats="0" applyBorderFormats="0" applyFontFormats="0" applyPatternFormats="0" applyAlignmentFormats="0" applyWidthHeightFormats="0">
  <queryTableRefresh nextId="13">
    <queryTableFields count="12">
      <queryTableField id="1" name="opportunity_name" tableColumnId="1"/>
      <queryTableField id="2" name="opportunity_id" tableColumnId="2"/>
      <queryTableField id="3" name="Account Executive" tableColumnId="3"/>
      <queryTableField id="4" name="premium_amount" tableColumnId="4"/>
      <queryTableField id="5" name="revenue_amount" tableColumnId="5"/>
      <queryTableField id="6" name="closing_date" tableColumnId="6"/>
      <queryTableField id="7" name="stage" tableColumnId="7"/>
      <queryTableField id="8" name="branch" tableColumnId="8"/>
      <queryTableField id="9" name="specialty" tableColumnId="9"/>
      <queryTableField id="10" name="product_group" tableColumnId="10"/>
      <queryTableField id="11" name="product_sub_group" tableColumnId="11"/>
      <queryTableField id="12" name="risk_detail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22548-E37B-4EEE-A34B-26E14DD5963D}" name="meeting_list_202001231041" displayName="meeting_list_202001231041" ref="A1:B35" tableType="queryTable" totalsRowShown="0">
  <autoFilter ref="A1:B35" xr:uid="{96622548-E37B-4EEE-A34B-26E14DD5963D}"/>
  <tableColumns count="2">
    <tableColumn id="1" xr3:uid="{27D476D9-1B21-4E8A-9A40-BEC3E791656E}" uniqueName="1" name="Account Executive" queryTableFieldId="1" dataDxfId="11"/>
    <tableColumn id="2" xr3:uid="{B9C3C96D-C346-4426-AA87-2C627653D4E5}" uniqueName="2" name="meeting_date" queryTableFieldId="2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37C606-E3DE-4BF1-BD31-B2846AC876D1}" name="gcrm_opportunity_202001231041" displayName="gcrm_opportunity_202001231041" ref="A1:L50" tableType="queryTable" totalsRowShown="0">
  <autoFilter ref="A1:L50" xr:uid="{3A37C606-E3DE-4BF1-BD31-B2846AC876D1}"/>
  <tableColumns count="12">
    <tableColumn id="1" xr3:uid="{4AB46558-5E17-45F6-8C7B-49000551DAE1}" uniqueName="1" name="opportunity_name" queryTableFieldId="1" dataDxfId="9"/>
    <tableColumn id="2" xr3:uid="{6B94DB53-EC36-41D3-BCCC-FB240EB12123}" uniqueName="2" name="opportunity_id" queryTableFieldId="2" dataDxfId="8"/>
    <tableColumn id="3" xr3:uid="{AB723123-310F-44AD-9300-9DB9A37BF2C4}" uniqueName="3" name="Account Executive" queryTableFieldId="3" dataDxfId="7"/>
    <tableColumn id="4" xr3:uid="{928DB7DA-EC32-44A3-ABC0-28BD91CCC53C}" uniqueName="4" name="premium_amount" queryTableFieldId="4"/>
    <tableColumn id="5" xr3:uid="{BC76D4C7-7337-4B06-8E99-CB1DA39F0636}" uniqueName="5" name="revenue_amount" queryTableFieldId="5"/>
    <tableColumn id="6" xr3:uid="{470DB08A-D60D-4939-9EAD-D0D7FD300FBC}" uniqueName="6" name="closing_date" queryTableFieldId="6" dataDxfId="6"/>
    <tableColumn id="7" xr3:uid="{5101AC5A-164F-4CA7-9C33-3F98A787B0A9}" uniqueName="7" name="stage" queryTableFieldId="7" dataDxfId="5"/>
    <tableColumn id="8" xr3:uid="{CE02F54A-BC7D-4F7F-976A-83250846759A}" uniqueName="8" name="branch" queryTableFieldId="8" dataDxfId="4"/>
    <tableColumn id="9" xr3:uid="{45B910F3-CB8D-47C4-AB3D-4495D5C2564B}" uniqueName="9" name="specialty" queryTableFieldId="9" dataDxfId="3"/>
    <tableColumn id="10" xr3:uid="{40E7D9D5-2626-4795-B096-5DFBFEC939D4}" uniqueName="10" name="product_group" queryTableFieldId="10" dataDxfId="2"/>
    <tableColumn id="11" xr3:uid="{DBD38552-FA1E-4260-A50C-BF5CB9E6CC00}" uniqueName="11" name="product_sub_group" queryTableFieldId="11" dataDxfId="1"/>
    <tableColumn id="12" xr3:uid="{26E28AF8-D529-473A-AB0C-75E672C6F9FD}" uniqueName="12" name="risk_detail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1E2B-5C2B-4CB4-8CD1-085787934D00}">
  <dimension ref="A1:B35"/>
  <sheetViews>
    <sheetView workbookViewId="0"/>
  </sheetViews>
  <sheetFormatPr defaultRowHeight="14.5" x14ac:dyDescent="0.5"/>
  <cols>
    <col min="1" max="1" width="20.1796875" customWidth="1"/>
    <col min="2" max="2" width="15.7265625" customWidth="1"/>
  </cols>
  <sheetData>
    <row r="1" spans="1:2" ht="16.5" x14ac:dyDescent="0.5">
      <c r="A1" t="s">
        <v>0</v>
      </c>
      <c r="B1" t="s">
        <v>1</v>
      </c>
    </row>
    <row r="2" spans="1:2" ht="16.5" x14ac:dyDescent="0.5">
      <c r="A2" t="s">
        <v>2</v>
      </c>
      <c r="B2" s="1">
        <v>43755</v>
      </c>
    </row>
    <row r="3" spans="1:2" ht="16.5" x14ac:dyDescent="0.5">
      <c r="A3" t="s">
        <v>2</v>
      </c>
      <c r="B3" s="1">
        <v>43755</v>
      </c>
    </row>
    <row r="4" spans="1:2" ht="16.5" x14ac:dyDescent="0.5">
      <c r="A4" t="s">
        <v>2</v>
      </c>
      <c r="B4" s="1">
        <v>43823</v>
      </c>
    </row>
    <row r="5" spans="1:2" ht="16.5" x14ac:dyDescent="0.5">
      <c r="A5" t="s">
        <v>2</v>
      </c>
      <c r="B5" s="1">
        <v>43833</v>
      </c>
    </row>
    <row r="6" spans="1:2" ht="16.5" x14ac:dyDescent="0.5">
      <c r="A6" t="s">
        <v>2</v>
      </c>
      <c r="B6" s="1">
        <v>43838</v>
      </c>
    </row>
    <row r="7" spans="1:2" ht="16.5" x14ac:dyDescent="0.5">
      <c r="A7" t="s">
        <v>2</v>
      </c>
      <c r="B7" s="1">
        <v>43838</v>
      </c>
    </row>
    <row r="8" spans="1:2" ht="16.5" x14ac:dyDescent="0.5">
      <c r="A8" t="s">
        <v>2</v>
      </c>
      <c r="B8" s="1">
        <v>43839</v>
      </c>
    </row>
    <row r="9" spans="1:2" ht="16.5" x14ac:dyDescent="0.5">
      <c r="A9" t="s">
        <v>3</v>
      </c>
      <c r="B9" s="1">
        <v>43832</v>
      </c>
    </row>
    <row r="10" spans="1:2" ht="16.5" x14ac:dyDescent="0.5">
      <c r="A10" t="s">
        <v>3</v>
      </c>
      <c r="B10" s="1">
        <v>43833</v>
      </c>
    </row>
    <row r="11" spans="1:2" ht="16.5" x14ac:dyDescent="0.5">
      <c r="A11" t="s">
        <v>3</v>
      </c>
      <c r="B11" s="1">
        <v>43836</v>
      </c>
    </row>
    <row r="12" spans="1:2" ht="16.5" x14ac:dyDescent="0.5">
      <c r="A12" t="s">
        <v>3</v>
      </c>
      <c r="B12" s="1">
        <v>43837</v>
      </c>
    </row>
    <row r="13" spans="1:2" ht="16.5" x14ac:dyDescent="0.5">
      <c r="A13" t="s">
        <v>3</v>
      </c>
      <c r="B13" s="1">
        <v>43838</v>
      </c>
    </row>
    <row r="14" spans="1:2" ht="16.5" x14ac:dyDescent="0.5">
      <c r="A14" t="s">
        <v>4</v>
      </c>
      <c r="B14" s="1">
        <v>43843</v>
      </c>
    </row>
    <row r="15" spans="1:2" ht="16.5" x14ac:dyDescent="0.5">
      <c r="A15" t="s">
        <v>4</v>
      </c>
      <c r="B15" s="1">
        <v>43843</v>
      </c>
    </row>
    <row r="16" spans="1:2" ht="16.5" x14ac:dyDescent="0.5">
      <c r="A16" t="s">
        <v>4</v>
      </c>
      <c r="B16" s="1">
        <v>43839</v>
      </c>
    </row>
    <row r="17" spans="1:2" ht="16.5" x14ac:dyDescent="0.5">
      <c r="A17" t="s">
        <v>4</v>
      </c>
      <c r="B17" s="1">
        <v>43840</v>
      </c>
    </row>
    <row r="18" spans="1:2" ht="16.5" x14ac:dyDescent="0.5">
      <c r="A18" t="s">
        <v>5</v>
      </c>
      <c r="B18" s="1">
        <v>43833</v>
      </c>
    </row>
    <row r="19" spans="1:2" ht="16.5" x14ac:dyDescent="0.5">
      <c r="A19" t="s">
        <v>5</v>
      </c>
      <c r="B19" s="1">
        <v>43838</v>
      </c>
    </row>
    <row r="20" spans="1:2" ht="16.5" x14ac:dyDescent="0.5">
      <c r="A20" t="s">
        <v>5</v>
      </c>
      <c r="B20" s="1">
        <v>43843</v>
      </c>
    </row>
    <row r="21" spans="1:2" ht="16.5" x14ac:dyDescent="0.5">
      <c r="A21" t="s">
        <v>5</v>
      </c>
      <c r="B21" s="1">
        <v>43839</v>
      </c>
    </row>
    <row r="22" spans="1:2" ht="16.5" x14ac:dyDescent="0.5">
      <c r="A22" t="s">
        <v>6</v>
      </c>
      <c r="B22" s="1">
        <v>43836</v>
      </c>
    </row>
    <row r="23" spans="1:2" ht="16.5" x14ac:dyDescent="0.5">
      <c r="A23" t="s">
        <v>6</v>
      </c>
      <c r="B23" s="1">
        <v>43850</v>
      </c>
    </row>
    <row r="24" spans="1:2" ht="16.5" x14ac:dyDescent="0.5">
      <c r="A24" t="s">
        <v>6</v>
      </c>
      <c r="B24" s="1">
        <v>43850</v>
      </c>
    </row>
    <row r="25" spans="1:2" ht="16.5" x14ac:dyDescent="0.5">
      <c r="A25" t="s">
        <v>7</v>
      </c>
      <c r="B25" s="1">
        <v>43851</v>
      </c>
    </row>
    <row r="26" spans="1:2" ht="16.5" x14ac:dyDescent="0.5">
      <c r="A26" t="s">
        <v>7</v>
      </c>
      <c r="B26" s="1">
        <v>43851</v>
      </c>
    </row>
    <row r="27" spans="1:2" ht="16.5" x14ac:dyDescent="0.5">
      <c r="A27" t="s">
        <v>7</v>
      </c>
      <c r="B27" s="1">
        <v>43851</v>
      </c>
    </row>
    <row r="28" spans="1:2" ht="16.5" x14ac:dyDescent="0.5">
      <c r="A28" t="s">
        <v>7</v>
      </c>
      <c r="B28" s="1">
        <v>43852</v>
      </c>
    </row>
    <row r="29" spans="1:2" ht="16.5" x14ac:dyDescent="0.5">
      <c r="A29" t="s">
        <v>8</v>
      </c>
      <c r="B29" s="1">
        <v>43843</v>
      </c>
    </row>
    <row r="30" spans="1:2" ht="16.5" x14ac:dyDescent="0.5">
      <c r="A30" t="s">
        <v>8</v>
      </c>
      <c r="B30" s="1">
        <v>43839</v>
      </c>
    </row>
    <row r="31" spans="1:2" ht="16.5" x14ac:dyDescent="0.5">
      <c r="A31" t="s">
        <v>8</v>
      </c>
      <c r="B31" s="1">
        <v>43851</v>
      </c>
    </row>
    <row r="32" spans="1:2" ht="16.5" x14ac:dyDescent="0.5">
      <c r="A32" t="s">
        <v>9</v>
      </c>
      <c r="B32" s="1">
        <v>43852</v>
      </c>
    </row>
    <row r="33" spans="1:2" ht="16.5" x14ac:dyDescent="0.5">
      <c r="A33" t="s">
        <v>9</v>
      </c>
      <c r="B33" s="1">
        <v>43850</v>
      </c>
    </row>
    <row r="34" spans="1:2" ht="16.5" x14ac:dyDescent="0.5">
      <c r="A34" t="s">
        <v>10</v>
      </c>
      <c r="B34" s="1">
        <v>43852</v>
      </c>
    </row>
    <row r="35" spans="1:2" ht="16.5" x14ac:dyDescent="0.5">
      <c r="A35" t="s">
        <v>10</v>
      </c>
      <c r="B35" s="1">
        <v>43843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6B27-35B2-4A2D-8411-8A5DFE0FBA24}">
  <dimension ref="A1:L50"/>
  <sheetViews>
    <sheetView topLeftCell="A31" workbookViewId="0">
      <selection activeCell="E5" sqref="E5"/>
    </sheetView>
  </sheetViews>
  <sheetFormatPr defaultRowHeight="13.5" x14ac:dyDescent="0.5"/>
  <cols>
    <col min="1" max="1" width="28.26953125" customWidth="1"/>
    <col min="2" max="2" width="16.54296875" customWidth="1"/>
    <col min="3" max="3" width="20.1796875" customWidth="1"/>
    <col min="4" max="4" width="19.26953125" customWidth="1"/>
    <col min="5" max="5" width="18.54296875" customWidth="1"/>
    <col min="6" max="6" width="14.54296875" customWidth="1"/>
    <col min="7" max="7" width="18.453125" customWidth="1"/>
    <col min="8" max="8" width="11.7265625" customWidth="1"/>
    <col min="9" max="9" width="41.453125" customWidth="1"/>
    <col min="10" max="10" width="17" customWidth="1"/>
    <col min="11" max="11" width="32.7265625" customWidth="1"/>
    <col min="12" max="12" width="50.1796875" customWidth="1"/>
  </cols>
  <sheetData>
    <row r="1" spans="1:12" ht="16.5" x14ac:dyDescent="0.5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ht="16.5" x14ac:dyDescent="0.5">
      <c r="A2" t="s">
        <v>29</v>
      </c>
      <c r="B2" t="s">
        <v>30</v>
      </c>
      <c r="C2" t="s">
        <v>4</v>
      </c>
      <c r="D2">
        <v>8000000</v>
      </c>
      <c r="E2">
        <v>400000</v>
      </c>
      <c r="F2" s="1">
        <v>43782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</row>
    <row r="3" spans="1:12" ht="16.5" x14ac:dyDescent="0.5">
      <c r="A3" t="s">
        <v>37</v>
      </c>
      <c r="B3" t="s">
        <v>38</v>
      </c>
      <c r="C3" t="s">
        <v>7</v>
      </c>
      <c r="D3">
        <v>200000</v>
      </c>
      <c r="E3">
        <v>30000</v>
      </c>
      <c r="F3" s="1">
        <v>43921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39</v>
      </c>
    </row>
    <row r="4" spans="1:12" ht="16.5" x14ac:dyDescent="0.5">
      <c r="A4" t="s">
        <v>40</v>
      </c>
      <c r="B4" t="s">
        <v>41</v>
      </c>
      <c r="C4" t="s">
        <v>7</v>
      </c>
      <c r="D4">
        <v>0</v>
      </c>
      <c r="E4">
        <v>100000</v>
      </c>
      <c r="F4" s="1">
        <v>44012</v>
      </c>
      <c r="G4" t="s">
        <v>31</v>
      </c>
      <c r="H4" t="s">
        <v>32</v>
      </c>
      <c r="I4" t="s">
        <v>42</v>
      </c>
      <c r="J4" t="s">
        <v>42</v>
      </c>
      <c r="K4" t="s">
        <v>43</v>
      </c>
      <c r="L4" t="s">
        <v>44</v>
      </c>
    </row>
    <row r="5" spans="1:12" ht="16.5" x14ac:dyDescent="0.5">
      <c r="A5" t="s">
        <v>45</v>
      </c>
      <c r="B5" t="s">
        <v>46</v>
      </c>
      <c r="C5" t="s">
        <v>7</v>
      </c>
      <c r="D5">
        <v>0</v>
      </c>
      <c r="E5">
        <v>100000</v>
      </c>
      <c r="F5" s="1">
        <v>43921</v>
      </c>
      <c r="G5" t="s">
        <v>31</v>
      </c>
      <c r="H5" t="s">
        <v>32</v>
      </c>
      <c r="I5" t="s">
        <v>42</v>
      </c>
      <c r="J5" t="s">
        <v>42</v>
      </c>
      <c r="K5" t="s">
        <v>43</v>
      </c>
      <c r="L5" t="s">
        <v>44</v>
      </c>
    </row>
    <row r="6" spans="1:12" ht="16.5" x14ac:dyDescent="0.5">
      <c r="A6" t="s">
        <v>47</v>
      </c>
      <c r="B6" t="s">
        <v>48</v>
      </c>
      <c r="C6" t="s">
        <v>7</v>
      </c>
      <c r="D6">
        <v>1200000</v>
      </c>
      <c r="E6">
        <v>100000</v>
      </c>
      <c r="F6" s="1">
        <v>43921</v>
      </c>
      <c r="G6" t="s">
        <v>31</v>
      </c>
      <c r="H6" t="s">
        <v>32</v>
      </c>
      <c r="I6" t="s">
        <v>49</v>
      </c>
      <c r="J6" t="s">
        <v>50</v>
      </c>
      <c r="K6" t="s">
        <v>50</v>
      </c>
      <c r="L6" t="s">
        <v>51</v>
      </c>
    </row>
    <row r="7" spans="1:12" ht="16.5" x14ac:dyDescent="0.5">
      <c r="A7" t="s">
        <v>52</v>
      </c>
      <c r="B7" t="s">
        <v>53</v>
      </c>
      <c r="C7" t="s">
        <v>7</v>
      </c>
      <c r="D7">
        <v>0</v>
      </c>
      <c r="E7">
        <v>100000</v>
      </c>
      <c r="F7" s="1">
        <v>43982</v>
      </c>
      <c r="G7" t="s">
        <v>31</v>
      </c>
      <c r="H7" t="s">
        <v>32</v>
      </c>
      <c r="I7" t="s">
        <v>54</v>
      </c>
      <c r="J7" t="s">
        <v>54</v>
      </c>
      <c r="K7" t="s">
        <v>55</v>
      </c>
      <c r="L7" t="s">
        <v>56</v>
      </c>
    </row>
    <row r="8" spans="1:12" ht="16.5" x14ac:dyDescent="0.5">
      <c r="A8" t="s">
        <v>57</v>
      </c>
      <c r="B8" t="s">
        <v>58</v>
      </c>
      <c r="C8" t="s">
        <v>7</v>
      </c>
      <c r="D8">
        <v>0</v>
      </c>
      <c r="E8">
        <v>100000</v>
      </c>
      <c r="F8" s="1">
        <v>43982</v>
      </c>
      <c r="G8" t="s">
        <v>31</v>
      </c>
      <c r="H8" t="s">
        <v>32</v>
      </c>
      <c r="I8" t="s">
        <v>42</v>
      </c>
      <c r="J8" t="s">
        <v>42</v>
      </c>
      <c r="K8" t="s">
        <v>43</v>
      </c>
      <c r="L8" t="s">
        <v>44</v>
      </c>
    </row>
    <row r="9" spans="1:12" ht="16.5" x14ac:dyDescent="0.5">
      <c r="A9" t="s">
        <v>59</v>
      </c>
      <c r="B9" t="s">
        <v>60</v>
      </c>
      <c r="C9" t="s">
        <v>7</v>
      </c>
      <c r="D9">
        <v>0</v>
      </c>
      <c r="E9">
        <v>125000</v>
      </c>
      <c r="F9" s="1">
        <v>44012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</row>
    <row r="10" spans="1:12" ht="16.5" x14ac:dyDescent="0.5">
      <c r="A10" t="s">
        <v>61</v>
      </c>
      <c r="B10" t="s">
        <v>62</v>
      </c>
      <c r="C10" t="s">
        <v>7</v>
      </c>
      <c r="D10">
        <v>0</v>
      </c>
      <c r="E10">
        <v>100000</v>
      </c>
      <c r="F10" s="1">
        <v>43921</v>
      </c>
      <c r="G10" t="s">
        <v>31</v>
      </c>
      <c r="H10" t="s">
        <v>32</v>
      </c>
      <c r="I10" t="s">
        <v>42</v>
      </c>
      <c r="J10" t="s">
        <v>42</v>
      </c>
      <c r="K10" t="s">
        <v>43</v>
      </c>
      <c r="L10" t="s">
        <v>44</v>
      </c>
    </row>
    <row r="11" spans="1:12" ht="16.5" x14ac:dyDescent="0.5">
      <c r="A11" t="s">
        <v>63</v>
      </c>
      <c r="B11" t="s">
        <v>64</v>
      </c>
      <c r="C11" t="s">
        <v>7</v>
      </c>
      <c r="D11">
        <v>0</v>
      </c>
      <c r="E11">
        <v>200000</v>
      </c>
      <c r="F11" s="1">
        <v>43921</v>
      </c>
      <c r="G11" t="s">
        <v>31</v>
      </c>
      <c r="H11" t="s">
        <v>32</v>
      </c>
      <c r="I11" t="s">
        <v>42</v>
      </c>
      <c r="J11" t="s">
        <v>42</v>
      </c>
      <c r="K11" t="s">
        <v>43</v>
      </c>
      <c r="L11" t="s">
        <v>44</v>
      </c>
    </row>
    <row r="12" spans="1:12" ht="16.5" x14ac:dyDescent="0.5">
      <c r="A12" t="s">
        <v>65</v>
      </c>
      <c r="B12" t="s">
        <v>66</v>
      </c>
      <c r="C12" t="s">
        <v>7</v>
      </c>
      <c r="D12">
        <v>0</v>
      </c>
      <c r="E12">
        <v>75000</v>
      </c>
      <c r="F12" s="1">
        <v>43921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36</v>
      </c>
    </row>
    <row r="13" spans="1:12" ht="16.5" x14ac:dyDescent="0.5">
      <c r="A13" t="s">
        <v>67</v>
      </c>
      <c r="B13" t="s">
        <v>68</v>
      </c>
      <c r="C13" t="s">
        <v>7</v>
      </c>
      <c r="D13">
        <v>0</v>
      </c>
      <c r="E13">
        <v>25000</v>
      </c>
      <c r="F13" s="1">
        <v>43921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39</v>
      </c>
    </row>
    <row r="14" spans="1:12" ht="16.5" x14ac:dyDescent="0.5">
      <c r="A14" t="s">
        <v>69</v>
      </c>
      <c r="B14" t="s">
        <v>70</v>
      </c>
      <c r="C14" t="s">
        <v>7</v>
      </c>
      <c r="D14">
        <v>2000000</v>
      </c>
      <c r="E14">
        <v>150000</v>
      </c>
      <c r="F14" s="1">
        <v>43982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36</v>
      </c>
    </row>
    <row r="15" spans="1:12" ht="16.5" x14ac:dyDescent="0.5">
      <c r="A15" t="s">
        <v>71</v>
      </c>
      <c r="B15" t="s">
        <v>72</v>
      </c>
      <c r="C15" t="s">
        <v>7</v>
      </c>
      <c r="D15">
        <v>500000</v>
      </c>
      <c r="E15">
        <v>75000</v>
      </c>
      <c r="F15" s="1">
        <v>43982</v>
      </c>
      <c r="G15" t="s">
        <v>31</v>
      </c>
      <c r="H15" t="s">
        <v>32</v>
      </c>
      <c r="I15" t="s">
        <v>54</v>
      </c>
      <c r="J15" t="s">
        <v>54</v>
      </c>
      <c r="K15" t="s">
        <v>55</v>
      </c>
      <c r="L15" t="s">
        <v>73</v>
      </c>
    </row>
    <row r="16" spans="1:12" ht="16.5" x14ac:dyDescent="0.5">
      <c r="A16" t="s">
        <v>74</v>
      </c>
      <c r="B16" t="s">
        <v>75</v>
      </c>
      <c r="C16" t="s">
        <v>4</v>
      </c>
      <c r="D16">
        <v>2500000</v>
      </c>
      <c r="E16">
        <v>125000</v>
      </c>
      <c r="F16" s="1">
        <v>43800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36</v>
      </c>
    </row>
    <row r="17" spans="1:12" ht="16.5" x14ac:dyDescent="0.5">
      <c r="A17" t="s">
        <v>76</v>
      </c>
      <c r="B17" t="s">
        <v>77</v>
      </c>
      <c r="C17" t="s">
        <v>10</v>
      </c>
      <c r="D17">
        <v>1400000</v>
      </c>
      <c r="E17">
        <v>100000</v>
      </c>
      <c r="F17" s="1">
        <v>43808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36</v>
      </c>
    </row>
    <row r="18" spans="1:12" ht="16.5" x14ac:dyDescent="0.5">
      <c r="A18" t="s">
        <v>78</v>
      </c>
      <c r="B18" t="s">
        <v>79</v>
      </c>
      <c r="C18" t="s">
        <v>10</v>
      </c>
      <c r="D18">
        <v>4500000</v>
      </c>
      <c r="E18">
        <v>350000</v>
      </c>
      <c r="F18" s="1">
        <v>43810</v>
      </c>
      <c r="G18" t="s">
        <v>31</v>
      </c>
      <c r="H18" t="s">
        <v>32</v>
      </c>
      <c r="I18" t="s">
        <v>33</v>
      </c>
      <c r="J18" t="s">
        <v>50</v>
      </c>
      <c r="K18" t="s">
        <v>50</v>
      </c>
      <c r="L18" t="s">
        <v>36</v>
      </c>
    </row>
    <row r="19" spans="1:12" ht="16.5" x14ac:dyDescent="0.5">
      <c r="A19" t="s">
        <v>80</v>
      </c>
      <c r="B19" t="s">
        <v>81</v>
      </c>
      <c r="C19" t="s">
        <v>4</v>
      </c>
      <c r="D19">
        <v>9500000</v>
      </c>
      <c r="E19">
        <v>200000</v>
      </c>
      <c r="F19" s="1">
        <v>43738</v>
      </c>
      <c r="G19" t="s">
        <v>82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</row>
    <row r="20" spans="1:12" ht="16.5" x14ac:dyDescent="0.5">
      <c r="A20" t="s">
        <v>83</v>
      </c>
      <c r="B20" t="s">
        <v>84</v>
      </c>
      <c r="C20" t="s">
        <v>10</v>
      </c>
      <c r="D20">
        <v>4500000</v>
      </c>
      <c r="E20">
        <v>300000</v>
      </c>
      <c r="F20" s="1">
        <v>43767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36</v>
      </c>
    </row>
    <row r="21" spans="1:12" ht="16.5" x14ac:dyDescent="0.5">
      <c r="A21" t="s">
        <v>85</v>
      </c>
      <c r="B21" t="s">
        <v>86</v>
      </c>
      <c r="C21" t="s">
        <v>4</v>
      </c>
      <c r="D21">
        <v>0</v>
      </c>
      <c r="E21">
        <v>100000</v>
      </c>
      <c r="F21" s="1">
        <v>43784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 t="s">
        <v>36</v>
      </c>
    </row>
    <row r="22" spans="1:12" ht="16.5" x14ac:dyDescent="0.5">
      <c r="A22" t="s">
        <v>87</v>
      </c>
      <c r="B22" t="s">
        <v>88</v>
      </c>
      <c r="C22" t="s">
        <v>4</v>
      </c>
      <c r="D22">
        <v>6000000</v>
      </c>
      <c r="E22">
        <v>300000</v>
      </c>
      <c r="F22" s="1">
        <v>43800</v>
      </c>
      <c r="G22" t="s">
        <v>31</v>
      </c>
      <c r="H22" t="s">
        <v>32</v>
      </c>
      <c r="I22" t="s">
        <v>33</v>
      </c>
      <c r="J22" t="s">
        <v>34</v>
      </c>
      <c r="K22" t="s">
        <v>35</v>
      </c>
      <c r="L22" t="s">
        <v>36</v>
      </c>
    </row>
    <row r="23" spans="1:12" ht="16.5" x14ac:dyDescent="0.5">
      <c r="A23" t="s">
        <v>89</v>
      </c>
      <c r="B23" t="s">
        <v>90</v>
      </c>
      <c r="C23" t="s">
        <v>10</v>
      </c>
      <c r="D23">
        <v>600000</v>
      </c>
      <c r="E23">
        <v>100000</v>
      </c>
      <c r="F23" s="1">
        <v>43799</v>
      </c>
      <c r="G23" t="s">
        <v>31</v>
      </c>
      <c r="H23" t="s">
        <v>32</v>
      </c>
      <c r="I23" t="s">
        <v>91</v>
      </c>
      <c r="J23" t="s">
        <v>34</v>
      </c>
      <c r="K23" t="s">
        <v>35</v>
      </c>
      <c r="L23" t="s">
        <v>36</v>
      </c>
    </row>
    <row r="24" spans="1:12" ht="16.5" x14ac:dyDescent="0.5">
      <c r="A24" t="s">
        <v>92</v>
      </c>
      <c r="B24" t="s">
        <v>93</v>
      </c>
      <c r="C24" t="s">
        <v>10</v>
      </c>
      <c r="D24">
        <v>210000</v>
      </c>
      <c r="E24">
        <v>35000</v>
      </c>
      <c r="F24" s="1">
        <v>43799</v>
      </c>
      <c r="G24" t="s">
        <v>31</v>
      </c>
      <c r="H24" t="s">
        <v>32</v>
      </c>
      <c r="I24" t="s">
        <v>91</v>
      </c>
      <c r="J24" t="s">
        <v>34</v>
      </c>
      <c r="K24" t="s">
        <v>35</v>
      </c>
      <c r="L24" t="s">
        <v>39</v>
      </c>
    </row>
    <row r="25" spans="1:12" ht="16.5" x14ac:dyDescent="0.5">
      <c r="A25" t="s">
        <v>94</v>
      </c>
      <c r="B25" t="s">
        <v>95</v>
      </c>
      <c r="C25" t="s">
        <v>10</v>
      </c>
      <c r="D25">
        <v>300000</v>
      </c>
      <c r="E25">
        <v>49500</v>
      </c>
      <c r="F25" s="1">
        <v>43738</v>
      </c>
      <c r="G25" t="s">
        <v>82</v>
      </c>
      <c r="H25" t="s">
        <v>32</v>
      </c>
      <c r="I25" t="s">
        <v>54</v>
      </c>
      <c r="J25" t="s">
        <v>54</v>
      </c>
      <c r="K25" t="s">
        <v>55</v>
      </c>
      <c r="L25" t="s">
        <v>56</v>
      </c>
    </row>
    <row r="26" spans="1:12" ht="16.5" x14ac:dyDescent="0.5">
      <c r="A26" t="s">
        <v>96</v>
      </c>
      <c r="B26" t="s">
        <v>97</v>
      </c>
      <c r="C26" t="s">
        <v>10</v>
      </c>
      <c r="D26">
        <v>300000</v>
      </c>
      <c r="E26">
        <v>49500</v>
      </c>
      <c r="F26" s="1">
        <v>43738</v>
      </c>
      <c r="G26" t="s">
        <v>82</v>
      </c>
      <c r="H26" t="s">
        <v>32</v>
      </c>
      <c r="I26" t="s">
        <v>54</v>
      </c>
      <c r="J26" t="s">
        <v>54</v>
      </c>
      <c r="K26" t="s">
        <v>55</v>
      </c>
      <c r="L26" t="s">
        <v>98</v>
      </c>
    </row>
    <row r="27" spans="1:12" ht="16.5" x14ac:dyDescent="0.5">
      <c r="A27" t="s">
        <v>99</v>
      </c>
      <c r="B27" t="s">
        <v>100</v>
      </c>
      <c r="C27" t="s">
        <v>10</v>
      </c>
      <c r="D27">
        <v>5000000</v>
      </c>
      <c r="E27">
        <v>250000</v>
      </c>
      <c r="F27" s="1">
        <v>43799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 t="s">
        <v>36</v>
      </c>
    </row>
    <row r="28" spans="1:12" ht="16.5" x14ac:dyDescent="0.5">
      <c r="A28" t="s">
        <v>42</v>
      </c>
      <c r="B28" t="s">
        <v>101</v>
      </c>
      <c r="C28" t="s">
        <v>4</v>
      </c>
      <c r="D28">
        <v>0</v>
      </c>
      <c r="E28">
        <v>100000</v>
      </c>
      <c r="F28" s="1">
        <v>43769</v>
      </c>
      <c r="G28" t="s">
        <v>82</v>
      </c>
      <c r="H28" t="s">
        <v>32</v>
      </c>
      <c r="I28" t="s">
        <v>42</v>
      </c>
      <c r="J28" t="s">
        <v>42</v>
      </c>
      <c r="K28" t="s">
        <v>102</v>
      </c>
      <c r="L28" t="s">
        <v>103</v>
      </c>
    </row>
    <row r="29" spans="1:12" ht="16.5" x14ac:dyDescent="0.5">
      <c r="A29" t="s">
        <v>104</v>
      </c>
      <c r="B29" t="s">
        <v>105</v>
      </c>
      <c r="C29" t="s">
        <v>7</v>
      </c>
      <c r="D29">
        <v>90000000</v>
      </c>
      <c r="E29">
        <v>200000</v>
      </c>
      <c r="F29" s="1">
        <v>44074</v>
      </c>
      <c r="G29" t="s">
        <v>31</v>
      </c>
      <c r="H29" t="s">
        <v>32</v>
      </c>
      <c r="I29" t="s">
        <v>106</v>
      </c>
      <c r="J29" t="s">
        <v>107</v>
      </c>
      <c r="K29" t="s">
        <v>108</v>
      </c>
      <c r="L29" t="s">
        <v>109</v>
      </c>
    </row>
    <row r="30" spans="1:12" ht="16.5" x14ac:dyDescent="0.5">
      <c r="A30" t="s">
        <v>110</v>
      </c>
      <c r="B30" t="s">
        <v>111</v>
      </c>
      <c r="C30" t="s">
        <v>4</v>
      </c>
      <c r="D30">
        <v>0</v>
      </c>
      <c r="E30">
        <v>10000</v>
      </c>
      <c r="F30" s="1">
        <v>43738</v>
      </c>
      <c r="G30" t="s">
        <v>112</v>
      </c>
      <c r="H30" t="s">
        <v>32</v>
      </c>
      <c r="I30" t="s">
        <v>42</v>
      </c>
      <c r="J30" t="s">
        <v>42</v>
      </c>
      <c r="K30" t="s">
        <v>102</v>
      </c>
      <c r="L30" t="s">
        <v>102</v>
      </c>
    </row>
    <row r="31" spans="1:12" ht="16.5" x14ac:dyDescent="0.5">
      <c r="A31" t="s">
        <v>113</v>
      </c>
      <c r="B31" t="s">
        <v>114</v>
      </c>
      <c r="C31" t="s">
        <v>7</v>
      </c>
      <c r="D31">
        <v>0</v>
      </c>
      <c r="E31">
        <v>50000</v>
      </c>
      <c r="F31" s="1">
        <v>43921</v>
      </c>
      <c r="G31" t="s">
        <v>31</v>
      </c>
      <c r="H31" t="s">
        <v>32</v>
      </c>
      <c r="I31" t="s">
        <v>106</v>
      </c>
      <c r="J31" t="s">
        <v>107</v>
      </c>
      <c r="K31" t="s">
        <v>108</v>
      </c>
      <c r="L31" t="s">
        <v>115</v>
      </c>
    </row>
    <row r="32" spans="1:12" ht="16.5" x14ac:dyDescent="0.5">
      <c r="A32" t="s">
        <v>116</v>
      </c>
      <c r="B32" t="s">
        <v>117</v>
      </c>
      <c r="C32" t="s">
        <v>7</v>
      </c>
      <c r="D32">
        <v>300000</v>
      </c>
      <c r="E32">
        <v>30000</v>
      </c>
      <c r="F32" s="1">
        <v>43921</v>
      </c>
      <c r="G32" t="s">
        <v>31</v>
      </c>
      <c r="H32" t="s">
        <v>32</v>
      </c>
      <c r="I32" t="s">
        <v>118</v>
      </c>
      <c r="J32" t="s">
        <v>119</v>
      </c>
      <c r="K32" t="s">
        <v>119</v>
      </c>
      <c r="L32" t="s">
        <v>120</v>
      </c>
    </row>
    <row r="33" spans="1:12" ht="16.5" x14ac:dyDescent="0.5">
      <c r="A33" t="s">
        <v>121</v>
      </c>
      <c r="B33" t="s">
        <v>122</v>
      </c>
      <c r="C33" t="s">
        <v>7</v>
      </c>
      <c r="D33">
        <v>0</v>
      </c>
      <c r="E33">
        <v>200000</v>
      </c>
      <c r="F33" s="1">
        <v>43921</v>
      </c>
      <c r="G33" t="s">
        <v>31</v>
      </c>
      <c r="H33" t="s">
        <v>32</v>
      </c>
      <c r="I33" t="s">
        <v>106</v>
      </c>
      <c r="J33" t="s">
        <v>107</v>
      </c>
      <c r="K33" t="s">
        <v>108</v>
      </c>
      <c r="L33" t="s">
        <v>115</v>
      </c>
    </row>
    <row r="34" spans="1:12" ht="16.5" x14ac:dyDescent="0.5">
      <c r="A34" t="s">
        <v>123</v>
      </c>
      <c r="B34" t="s">
        <v>124</v>
      </c>
      <c r="C34" t="s">
        <v>7</v>
      </c>
      <c r="D34">
        <v>300000</v>
      </c>
      <c r="E34">
        <v>50000</v>
      </c>
      <c r="F34" s="1">
        <v>43921</v>
      </c>
      <c r="G34" t="s">
        <v>31</v>
      </c>
      <c r="H34" t="s">
        <v>32</v>
      </c>
      <c r="I34" t="s">
        <v>106</v>
      </c>
      <c r="J34" t="s">
        <v>107</v>
      </c>
      <c r="K34" t="s">
        <v>108</v>
      </c>
      <c r="L34" t="s">
        <v>115</v>
      </c>
    </row>
    <row r="35" spans="1:12" ht="16.5" x14ac:dyDescent="0.5">
      <c r="A35" t="s">
        <v>125</v>
      </c>
      <c r="B35" t="s">
        <v>126</v>
      </c>
      <c r="C35" t="s">
        <v>7</v>
      </c>
      <c r="D35">
        <v>1000000</v>
      </c>
      <c r="E35">
        <v>100000</v>
      </c>
      <c r="F35" s="1">
        <v>44043</v>
      </c>
      <c r="G35" t="s">
        <v>31</v>
      </c>
      <c r="H35" t="s">
        <v>32</v>
      </c>
      <c r="I35" t="s">
        <v>106</v>
      </c>
      <c r="J35" t="s">
        <v>107</v>
      </c>
      <c r="K35" t="s">
        <v>108</v>
      </c>
      <c r="L35" t="s">
        <v>115</v>
      </c>
    </row>
    <row r="36" spans="1:12" ht="16.5" x14ac:dyDescent="0.5">
      <c r="A36" t="s">
        <v>127</v>
      </c>
      <c r="B36" t="s">
        <v>128</v>
      </c>
      <c r="C36" t="s">
        <v>7</v>
      </c>
      <c r="D36">
        <v>0</v>
      </c>
      <c r="E36">
        <v>300000</v>
      </c>
      <c r="F36" s="1">
        <v>44012</v>
      </c>
      <c r="G36" t="s">
        <v>31</v>
      </c>
      <c r="H36" t="s">
        <v>32</v>
      </c>
      <c r="I36" t="s">
        <v>106</v>
      </c>
      <c r="J36" t="s">
        <v>107</v>
      </c>
      <c r="K36" t="s">
        <v>108</v>
      </c>
      <c r="L36" t="s">
        <v>115</v>
      </c>
    </row>
    <row r="37" spans="1:12" ht="16.5" x14ac:dyDescent="0.5">
      <c r="A37" t="s">
        <v>129</v>
      </c>
      <c r="B37" t="s">
        <v>130</v>
      </c>
      <c r="C37" t="s">
        <v>7</v>
      </c>
      <c r="D37">
        <v>0</v>
      </c>
      <c r="E37">
        <v>200000</v>
      </c>
      <c r="F37" s="1">
        <v>44012</v>
      </c>
      <c r="G37" t="s">
        <v>31</v>
      </c>
      <c r="H37" t="s">
        <v>32</v>
      </c>
      <c r="I37" t="s">
        <v>106</v>
      </c>
      <c r="J37" t="s">
        <v>107</v>
      </c>
      <c r="K37" t="s">
        <v>108</v>
      </c>
      <c r="L37" t="s">
        <v>115</v>
      </c>
    </row>
    <row r="38" spans="1:12" ht="16.5" x14ac:dyDescent="0.5">
      <c r="A38" t="s">
        <v>131</v>
      </c>
      <c r="B38" t="s">
        <v>132</v>
      </c>
      <c r="C38" t="s">
        <v>7</v>
      </c>
      <c r="D38">
        <v>0</v>
      </c>
      <c r="E38">
        <v>200000</v>
      </c>
      <c r="F38" s="1">
        <v>44012</v>
      </c>
      <c r="G38" t="s">
        <v>31</v>
      </c>
      <c r="H38" t="s">
        <v>32</v>
      </c>
      <c r="I38" t="s">
        <v>106</v>
      </c>
      <c r="J38" t="s">
        <v>107</v>
      </c>
      <c r="K38" t="s">
        <v>108</v>
      </c>
      <c r="L38" t="s">
        <v>115</v>
      </c>
    </row>
    <row r="39" spans="1:12" ht="16.5" x14ac:dyDescent="0.5">
      <c r="A39" t="s">
        <v>133</v>
      </c>
      <c r="B39" t="s">
        <v>134</v>
      </c>
      <c r="C39" t="s">
        <v>7</v>
      </c>
      <c r="D39">
        <v>0</v>
      </c>
      <c r="E39">
        <v>400000</v>
      </c>
      <c r="F39" s="1">
        <v>44012</v>
      </c>
      <c r="G39" t="s">
        <v>31</v>
      </c>
      <c r="H39" t="s">
        <v>32</v>
      </c>
      <c r="I39" t="s">
        <v>106</v>
      </c>
      <c r="J39" t="s">
        <v>107</v>
      </c>
      <c r="K39" t="s">
        <v>108</v>
      </c>
      <c r="L39" t="s">
        <v>115</v>
      </c>
    </row>
    <row r="40" spans="1:12" ht="16.5" x14ac:dyDescent="0.5">
      <c r="A40" t="s">
        <v>135</v>
      </c>
      <c r="B40" t="s">
        <v>136</v>
      </c>
      <c r="C40" t="s">
        <v>7</v>
      </c>
      <c r="D40">
        <v>0</v>
      </c>
      <c r="E40">
        <v>300000</v>
      </c>
      <c r="F40" s="1">
        <v>44012</v>
      </c>
      <c r="G40" t="s">
        <v>31</v>
      </c>
      <c r="H40" t="s">
        <v>32</v>
      </c>
      <c r="I40" t="s">
        <v>137</v>
      </c>
      <c r="J40" t="s">
        <v>138</v>
      </c>
      <c r="K40" t="s">
        <v>139</v>
      </c>
      <c r="L40" t="s">
        <v>140</v>
      </c>
    </row>
    <row r="41" spans="1:12" ht="16.5" x14ac:dyDescent="0.5">
      <c r="A41" t="s">
        <v>141</v>
      </c>
      <c r="B41" t="s">
        <v>142</v>
      </c>
      <c r="C41" t="s">
        <v>7</v>
      </c>
      <c r="D41">
        <v>500000</v>
      </c>
      <c r="E41">
        <v>50000</v>
      </c>
      <c r="F41" s="1">
        <v>43830</v>
      </c>
      <c r="G41" t="s">
        <v>31</v>
      </c>
      <c r="H41" t="s">
        <v>32</v>
      </c>
      <c r="I41" t="s">
        <v>118</v>
      </c>
      <c r="J41" t="s">
        <v>119</v>
      </c>
      <c r="K41" t="s">
        <v>119</v>
      </c>
      <c r="L41" t="s">
        <v>120</v>
      </c>
    </row>
    <row r="42" spans="1:12" ht="16.5" x14ac:dyDescent="0.5">
      <c r="A42" t="s">
        <v>143</v>
      </c>
      <c r="B42" t="s">
        <v>144</v>
      </c>
      <c r="C42" t="s">
        <v>7</v>
      </c>
      <c r="D42">
        <v>1000000</v>
      </c>
      <c r="E42">
        <v>100000</v>
      </c>
      <c r="F42" s="1">
        <v>43738</v>
      </c>
      <c r="G42" t="s">
        <v>31</v>
      </c>
      <c r="H42" t="s">
        <v>32</v>
      </c>
      <c r="I42" t="s">
        <v>118</v>
      </c>
      <c r="J42" t="s">
        <v>119</v>
      </c>
      <c r="K42" t="s">
        <v>119</v>
      </c>
      <c r="L42" t="s">
        <v>120</v>
      </c>
    </row>
    <row r="43" spans="1:12" ht="16.5" x14ac:dyDescent="0.5">
      <c r="A43" t="s">
        <v>145</v>
      </c>
      <c r="B43" t="s">
        <v>146</v>
      </c>
      <c r="C43" t="s">
        <v>10</v>
      </c>
      <c r="D43">
        <v>500000</v>
      </c>
      <c r="E43">
        <v>62000</v>
      </c>
      <c r="F43" s="1">
        <v>43738</v>
      </c>
      <c r="G43" t="s">
        <v>31</v>
      </c>
      <c r="H43" t="s">
        <v>32</v>
      </c>
      <c r="I43" t="s">
        <v>118</v>
      </c>
      <c r="J43" t="s">
        <v>119</v>
      </c>
      <c r="K43" t="s">
        <v>119</v>
      </c>
      <c r="L43" t="s">
        <v>120</v>
      </c>
    </row>
    <row r="44" spans="1:12" ht="16.5" x14ac:dyDescent="0.5">
      <c r="A44" t="s">
        <v>147</v>
      </c>
      <c r="B44" t="s">
        <v>148</v>
      </c>
      <c r="C44" t="s">
        <v>10</v>
      </c>
      <c r="D44">
        <v>300000</v>
      </c>
      <c r="E44">
        <v>37500</v>
      </c>
      <c r="F44" s="1">
        <v>43738</v>
      </c>
      <c r="G44" t="s">
        <v>31</v>
      </c>
      <c r="H44" t="s">
        <v>32</v>
      </c>
      <c r="I44" t="s">
        <v>118</v>
      </c>
      <c r="J44" t="s">
        <v>119</v>
      </c>
      <c r="K44" t="s">
        <v>119</v>
      </c>
      <c r="L44" t="s">
        <v>120</v>
      </c>
    </row>
    <row r="45" spans="1:12" ht="16.5" x14ac:dyDescent="0.5">
      <c r="A45" t="s">
        <v>149</v>
      </c>
      <c r="B45" t="s">
        <v>150</v>
      </c>
      <c r="C45" t="s">
        <v>4</v>
      </c>
      <c r="D45">
        <v>700000</v>
      </c>
      <c r="E45">
        <v>100000</v>
      </c>
      <c r="F45" s="1">
        <v>43830</v>
      </c>
      <c r="G45" t="s">
        <v>31</v>
      </c>
      <c r="H45" t="s">
        <v>32</v>
      </c>
      <c r="I45" t="s">
        <v>106</v>
      </c>
      <c r="J45" t="s">
        <v>107</v>
      </c>
      <c r="K45" t="s">
        <v>108</v>
      </c>
      <c r="L45" t="s">
        <v>115</v>
      </c>
    </row>
    <row r="46" spans="1:12" ht="16.5" x14ac:dyDescent="0.5">
      <c r="A46" t="s">
        <v>151</v>
      </c>
      <c r="B46" t="s">
        <v>152</v>
      </c>
      <c r="C46" t="s">
        <v>10</v>
      </c>
      <c r="D46">
        <v>800000</v>
      </c>
      <c r="E46">
        <v>50000</v>
      </c>
      <c r="F46" s="1">
        <v>43738</v>
      </c>
      <c r="G46" t="s">
        <v>31</v>
      </c>
      <c r="H46" t="s">
        <v>32</v>
      </c>
      <c r="I46" t="s">
        <v>118</v>
      </c>
      <c r="J46" t="s">
        <v>119</v>
      </c>
      <c r="K46" t="s">
        <v>119</v>
      </c>
      <c r="L46" t="s">
        <v>120</v>
      </c>
    </row>
    <row r="47" spans="1:12" ht="16.5" x14ac:dyDescent="0.5">
      <c r="A47" t="s">
        <v>107</v>
      </c>
      <c r="B47" t="s">
        <v>153</v>
      </c>
      <c r="C47" t="s">
        <v>4</v>
      </c>
      <c r="D47">
        <v>0</v>
      </c>
      <c r="E47">
        <v>500000</v>
      </c>
      <c r="F47" s="1">
        <v>43739</v>
      </c>
      <c r="G47" t="s">
        <v>82</v>
      </c>
      <c r="H47" t="s">
        <v>32</v>
      </c>
      <c r="I47" t="s">
        <v>106</v>
      </c>
      <c r="J47" t="s">
        <v>107</v>
      </c>
      <c r="K47" t="s">
        <v>108</v>
      </c>
      <c r="L47" t="s">
        <v>115</v>
      </c>
    </row>
    <row r="48" spans="1:12" ht="16.5" x14ac:dyDescent="0.5">
      <c r="A48" t="s">
        <v>154</v>
      </c>
      <c r="B48" t="s">
        <v>155</v>
      </c>
      <c r="C48" t="s">
        <v>7</v>
      </c>
      <c r="D48">
        <v>1000000</v>
      </c>
      <c r="E48">
        <v>100000</v>
      </c>
      <c r="F48" s="1">
        <v>43830</v>
      </c>
      <c r="G48" t="s">
        <v>31</v>
      </c>
      <c r="H48" t="s">
        <v>32</v>
      </c>
      <c r="I48" t="s">
        <v>106</v>
      </c>
      <c r="J48" t="s">
        <v>107</v>
      </c>
      <c r="K48" t="s">
        <v>108</v>
      </c>
      <c r="L48" t="s">
        <v>115</v>
      </c>
    </row>
    <row r="49" spans="1:12" ht="16.5" x14ac:dyDescent="0.5">
      <c r="A49" t="s">
        <v>156</v>
      </c>
      <c r="B49" t="s">
        <v>157</v>
      </c>
      <c r="C49" t="s">
        <v>4</v>
      </c>
      <c r="D49">
        <v>0</v>
      </c>
      <c r="E49">
        <v>50000</v>
      </c>
      <c r="F49" s="1">
        <v>43738</v>
      </c>
      <c r="G49" t="s">
        <v>112</v>
      </c>
      <c r="H49" t="s">
        <v>32</v>
      </c>
      <c r="I49" t="s">
        <v>106</v>
      </c>
      <c r="J49" t="s">
        <v>107</v>
      </c>
      <c r="K49" t="s">
        <v>108</v>
      </c>
      <c r="L49" t="s">
        <v>115</v>
      </c>
    </row>
    <row r="50" spans="1:12" ht="16.5" x14ac:dyDescent="0.5">
      <c r="A50" t="s">
        <v>158</v>
      </c>
      <c r="B50" t="s">
        <v>159</v>
      </c>
      <c r="C50" t="s">
        <v>7</v>
      </c>
      <c r="D50">
        <v>0</v>
      </c>
      <c r="E50">
        <v>50000</v>
      </c>
      <c r="F50" s="1">
        <v>43921</v>
      </c>
      <c r="G50" t="s">
        <v>31</v>
      </c>
      <c r="H50" t="s">
        <v>32</v>
      </c>
      <c r="I50" t="s">
        <v>54</v>
      </c>
      <c r="J50" t="s">
        <v>54</v>
      </c>
      <c r="K50" t="s">
        <v>55</v>
      </c>
      <c r="L50" t="s"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05A7-5F63-4333-B93C-4C315376CC69}">
  <dimension ref="A2:F6"/>
  <sheetViews>
    <sheetView workbookViewId="0">
      <selection activeCell="A4" sqref="A4"/>
    </sheetView>
  </sheetViews>
  <sheetFormatPr defaultRowHeight="16.5" x14ac:dyDescent="0.5"/>
  <cols>
    <col min="1" max="1" width="22.81640625" customWidth="1"/>
    <col min="3" max="3" width="18.453125" customWidth="1"/>
    <col min="4" max="4" width="22.81640625" customWidth="1"/>
  </cols>
  <sheetData>
    <row r="2" spans="1:6" x14ac:dyDescent="0.5">
      <c r="A2" s="14" t="s">
        <v>161</v>
      </c>
      <c r="B2" s="14"/>
      <c r="C2" s="14" t="s">
        <v>163</v>
      </c>
    </row>
    <row r="3" spans="1:6" x14ac:dyDescent="0.5">
      <c r="A3" t="s">
        <v>162</v>
      </c>
      <c r="C3" s="3" t="s">
        <v>12</v>
      </c>
      <c r="D3" t="s">
        <v>162</v>
      </c>
    </row>
    <row r="4" spans="1:6" x14ac:dyDescent="0.5">
      <c r="A4">
        <v>49</v>
      </c>
      <c r="C4" s="4" t="s">
        <v>112</v>
      </c>
      <c r="D4">
        <v>2</v>
      </c>
      <c r="F4">
        <f>D4</f>
        <v>2</v>
      </c>
    </row>
    <row r="5" spans="1:6" x14ac:dyDescent="0.5">
      <c r="C5" s="4" t="s">
        <v>31</v>
      </c>
      <c r="D5">
        <v>42</v>
      </c>
      <c r="F5">
        <f>D5</f>
        <v>42</v>
      </c>
    </row>
    <row r="6" spans="1:6" x14ac:dyDescent="0.5">
      <c r="C6" s="4" t="s">
        <v>17</v>
      </c>
      <c r="D6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E7FB-217E-4D2E-824E-9C2A3E2BA04D}">
  <dimension ref="B4:H23"/>
  <sheetViews>
    <sheetView topLeftCell="A4" workbookViewId="0">
      <selection activeCell="F6" sqref="F6"/>
    </sheetView>
  </sheetViews>
  <sheetFormatPr defaultRowHeight="13.5" x14ac:dyDescent="0.5"/>
  <cols>
    <col min="2" max="2" width="14.81640625" customWidth="1"/>
    <col min="3" max="3" width="12" customWidth="1"/>
    <col min="4" max="4" width="6.81640625" customWidth="1"/>
    <col min="5" max="5" width="11.26953125" customWidth="1"/>
    <col min="6" max="6" width="26.453125" customWidth="1"/>
    <col min="7" max="7" width="16.81640625" customWidth="1"/>
    <col min="8" max="8" width="5" customWidth="1"/>
  </cols>
  <sheetData>
    <row r="4" spans="2:8" ht="16.5" x14ac:dyDescent="0.5">
      <c r="B4" s="2" t="s">
        <v>11</v>
      </c>
      <c r="C4" s="2"/>
      <c r="D4" s="2"/>
      <c r="F4" s="2"/>
      <c r="G4" s="2"/>
      <c r="H4" s="2"/>
    </row>
    <row r="6" spans="2:8" ht="16.5" x14ac:dyDescent="0.5">
      <c r="C6" s="3" t="s">
        <v>16</v>
      </c>
      <c r="F6" s="5"/>
      <c r="G6" s="6"/>
      <c r="H6" s="7"/>
    </row>
    <row r="7" spans="2:8" ht="16.5" x14ac:dyDescent="0.5">
      <c r="C7" t="s">
        <v>13</v>
      </c>
      <c r="D7" t="s">
        <v>14</v>
      </c>
      <c r="F7" s="8"/>
      <c r="G7" s="9"/>
      <c r="H7" s="10"/>
    </row>
    <row r="8" spans="2:8" ht="16.5" x14ac:dyDescent="0.5">
      <c r="F8" s="8"/>
      <c r="G8" s="9"/>
      <c r="H8" s="10"/>
    </row>
    <row r="9" spans="2:8" ht="16.5" x14ac:dyDescent="0.5">
      <c r="B9" t="s">
        <v>15</v>
      </c>
      <c r="C9">
        <v>3</v>
      </c>
      <c r="D9">
        <v>31</v>
      </c>
      <c r="F9" s="8"/>
      <c r="G9" s="9"/>
      <c r="H9" s="10"/>
    </row>
    <row r="10" spans="2:8" ht="16.5" x14ac:dyDescent="0.5">
      <c r="F10" s="8"/>
      <c r="G10" s="9"/>
      <c r="H10" s="10"/>
    </row>
    <row r="11" spans="2:8" ht="16.5" x14ac:dyDescent="0.5">
      <c r="F11" s="8"/>
      <c r="G11" s="9"/>
      <c r="H11" s="10"/>
    </row>
    <row r="12" spans="2:8" ht="16.5" x14ac:dyDescent="0.5">
      <c r="F12" s="8"/>
      <c r="G12" s="9"/>
      <c r="H12" s="10"/>
    </row>
    <row r="13" spans="2:8" ht="16.5" x14ac:dyDescent="0.5">
      <c r="F13" s="8"/>
      <c r="G13" s="9"/>
      <c r="H13" s="10"/>
    </row>
    <row r="14" spans="2:8" ht="16.5" x14ac:dyDescent="0.5">
      <c r="F14" s="8"/>
      <c r="G14" s="9"/>
      <c r="H14" s="10"/>
    </row>
    <row r="15" spans="2:8" ht="16.5" x14ac:dyDescent="0.5">
      <c r="F15" s="8"/>
      <c r="G15" s="9"/>
      <c r="H15" s="10"/>
    </row>
    <row r="16" spans="2:8" ht="16.5" x14ac:dyDescent="0.5">
      <c r="F16" s="8"/>
      <c r="G16" s="9"/>
      <c r="H16" s="10"/>
    </row>
    <row r="17" spans="6:8" ht="16.5" x14ac:dyDescent="0.5">
      <c r="F17" s="8"/>
      <c r="G17" s="9"/>
      <c r="H17" s="10"/>
    </row>
    <row r="18" spans="6:8" ht="16.5" x14ac:dyDescent="0.5">
      <c r="F18" s="8"/>
      <c r="G18" s="9"/>
      <c r="H18" s="10"/>
    </row>
    <row r="19" spans="6:8" ht="16.5" x14ac:dyDescent="0.5">
      <c r="F19" s="8"/>
      <c r="G19" s="9"/>
      <c r="H19" s="10"/>
    </row>
    <row r="20" spans="6:8" ht="16.5" x14ac:dyDescent="0.5">
      <c r="F20" s="8"/>
      <c r="G20" s="9"/>
      <c r="H20" s="10"/>
    </row>
    <row r="21" spans="6:8" ht="16.5" x14ac:dyDescent="0.5">
      <c r="F21" s="8"/>
      <c r="G21" s="9"/>
      <c r="H21" s="10"/>
    </row>
    <row r="22" spans="6:8" ht="16.5" x14ac:dyDescent="0.5">
      <c r="F22" s="8"/>
      <c r="G22" s="9"/>
      <c r="H22" s="10"/>
    </row>
    <row r="23" spans="6:8" ht="16.5" x14ac:dyDescent="0.5">
      <c r="F23" s="11"/>
      <c r="G23" s="12"/>
      <c r="H2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0ED4-293A-4594-913E-9318AA8C8B60}">
  <dimension ref="A1"/>
  <sheetViews>
    <sheetView showGridLines="0" showRowColHeaders="0" tabSelected="1" zoomScale="70" zoomScaleNormal="70" workbookViewId="0">
      <selection activeCell="AA5" sqref="AA5"/>
    </sheetView>
  </sheetViews>
  <sheetFormatPr defaultRowHeight="16.5" x14ac:dyDescent="0.5"/>
  <sheetData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184B-C0F0-492B-8A4E-B0B57490F4F0}">
  <dimension ref="A2:K7"/>
  <sheetViews>
    <sheetView workbookViewId="0">
      <selection activeCell="B3" sqref="B3"/>
    </sheetView>
  </sheetViews>
  <sheetFormatPr defaultRowHeight="16.5" x14ac:dyDescent="0.5"/>
  <cols>
    <col min="1" max="1" width="17.453125" customWidth="1"/>
    <col min="2" max="2" width="10.7265625" customWidth="1"/>
    <col min="3" max="3" width="18.453125" customWidth="1"/>
    <col min="7" max="7" width="10.1796875" customWidth="1"/>
    <col min="8" max="8" width="6.81640625" customWidth="1"/>
    <col min="9" max="9" width="5.81640625" customWidth="1"/>
    <col min="10" max="10" width="11.81640625" customWidth="1"/>
    <col min="11" max="11" width="8.81640625" customWidth="1"/>
  </cols>
  <sheetData>
    <row r="2" spans="1:11" x14ac:dyDescent="0.5">
      <c r="A2" s="15" t="s">
        <v>23</v>
      </c>
      <c r="B2" s="15" t="s">
        <v>164</v>
      </c>
      <c r="C2" s="15" t="s">
        <v>165</v>
      </c>
      <c r="G2" s="15" t="s">
        <v>12</v>
      </c>
      <c r="H2" s="15" t="s">
        <v>168</v>
      </c>
      <c r="I2" s="15" t="s">
        <v>169</v>
      </c>
      <c r="J2" s="15" t="s">
        <v>170</v>
      </c>
      <c r="K2" s="15" t="s">
        <v>171</v>
      </c>
    </row>
    <row r="3" spans="1:11" x14ac:dyDescent="0.5">
      <c r="A3" s="16" t="s">
        <v>82</v>
      </c>
      <c r="B3" s="17" t="s">
        <v>166</v>
      </c>
      <c r="C3" s="18">
        <v>5</v>
      </c>
      <c r="G3" s="17" t="s">
        <v>172</v>
      </c>
      <c r="H3" s="19">
        <v>28.538419999999999</v>
      </c>
      <c r="I3" s="19">
        <v>72.900000000000006</v>
      </c>
      <c r="J3" s="19">
        <v>130.412533</v>
      </c>
      <c r="K3" s="20">
        <f>H3/I3</f>
        <v>0.39147352537722901</v>
      </c>
    </row>
    <row r="4" spans="1:11" x14ac:dyDescent="0.5">
      <c r="A4" s="16" t="s">
        <v>112</v>
      </c>
      <c r="B4" s="17" t="s">
        <v>167</v>
      </c>
      <c r="C4" s="18">
        <v>2</v>
      </c>
      <c r="G4" s="15" t="s">
        <v>12</v>
      </c>
      <c r="H4" s="15" t="s">
        <v>168</v>
      </c>
      <c r="I4" s="15" t="s">
        <v>169</v>
      </c>
      <c r="J4" s="15" t="s">
        <v>170</v>
      </c>
      <c r="K4" s="20"/>
    </row>
    <row r="5" spans="1:11" x14ac:dyDescent="0.5">
      <c r="A5" s="16" t="s">
        <v>31</v>
      </c>
      <c r="B5" s="17" t="s">
        <v>167</v>
      </c>
      <c r="C5" s="18">
        <v>42</v>
      </c>
      <c r="G5" s="17" t="s">
        <v>173</v>
      </c>
      <c r="H5" s="19">
        <v>5.69815</v>
      </c>
      <c r="I5" s="19">
        <v>41</v>
      </c>
      <c r="J5" s="19">
        <v>35.316293099999989</v>
      </c>
      <c r="K5" s="20">
        <f>H5/I5</f>
        <v>0.13897926829268292</v>
      </c>
    </row>
    <row r="6" spans="1:11" x14ac:dyDescent="0.5">
      <c r="G6" s="15" t="s">
        <v>12</v>
      </c>
      <c r="H6" s="15" t="s">
        <v>168</v>
      </c>
      <c r="I6" s="15" t="s">
        <v>169</v>
      </c>
      <c r="J6" s="15" t="s">
        <v>170</v>
      </c>
      <c r="K6" s="20"/>
    </row>
    <row r="7" spans="1:11" x14ac:dyDescent="0.5">
      <c r="G7" s="17" t="s">
        <v>174</v>
      </c>
      <c r="H7" s="19">
        <v>82.443100000000001</v>
      </c>
      <c r="I7" s="19">
        <v>95.2</v>
      </c>
      <c r="J7" s="19">
        <v>185.07270640000016</v>
      </c>
      <c r="K7" s="20">
        <f>H7/I7</f>
        <v>0.86599894957983192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5C80E-2D83-4E79-BB36-055905C089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Meeting Count</vt:lpstr>
      <vt:lpstr>Oppurtinity</vt:lpstr>
      <vt:lpstr>Sheet4</vt:lpstr>
      <vt:lpstr>Sheet1</vt:lpstr>
      <vt:lpstr>Dashboard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h4785</dc:creator>
  <cp:lastModifiedBy>Vaishnavi Gupta</cp:lastModifiedBy>
  <dcterms:created xsi:type="dcterms:W3CDTF">2025-11-21T13:39:00Z</dcterms:created>
  <dcterms:modified xsi:type="dcterms:W3CDTF">2025-11-24T17:09:25Z</dcterms:modified>
</cp:coreProperties>
</file>